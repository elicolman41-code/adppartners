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3" borderId="1" pivotButton="0" quotePrefix="0" xfId="0"/>
    <xf numFmtId="164" fontId="4" fillId="4" borderId="1" pivotButton="0" quotePrefix="0" xfId="0"/>
    <xf numFmtId="0" fontId="3" fillId="0" borderId="1" pivotButton="0" quotePrefix="0" xfId="0"/>
    <xf numFmtId="164" fontId="4" fillId="3" borderId="1" applyAlignment="1" pivotButton="0" quotePrefix="0" xfId="0">
      <alignment horizontal="center"/>
    </xf>
    <xf numFmtId="0" fontId="5" fillId="6" borderId="1" pivotButton="0" quotePrefix="0" xfId="0"/>
    <xf numFmtId="164" fontId="5" fillId="6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Fable</author>
  </authors>
  <commentList>
    <comment ref="I13" authorId="0" shapeId="0">
      <text>
        <t>ADP HR Pro maximum for 3 EE bi-weekly. Paychex charges $502.15/run.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6" customWidth="1" min="4" max="4"/>
    <col width="14" customWidth="1" min="5" max="5"/>
    <col width="9" customWidth="1" min="6" max="6"/>
    <col width="12" customWidth="1" min="7" max="7"/>
    <col width="13" customWidth="1" min="8" max="8"/>
    <col width="12" customWidth="1" min="9" max="9"/>
    <col width="13" customWidth="1" min="10" max="10"/>
    <col width="34" customWidth="1" min="11" max="11"/>
  </cols>
  <sheetData>
    <row r="1" ht="26" customHeight="1">
      <c r="A1" s="1" t="inlineStr">
        <is>
          <t>INNOVATIVE ADVISORS — CURRENT COST vs ADP PRICING</t>
        </is>
      </c>
    </row>
    <row r="2">
      <c r="A2" s="2" t="inlineStr">
        <is>
          <t>Current cost verified from actual invoices. ADP priced to match, except Walters Mirrors where ADP maxes out below Paychex.</t>
        </is>
      </c>
    </row>
    <row r="4">
      <c r="C4" s="3" t="n"/>
      <c r="G4" s="3" t="inlineStr">
        <is>
          <t>CURRENT PROVIDER</t>
        </is>
      </c>
      <c r="I4" s="4" t="inlineStr">
        <is>
          <t>ADP PROPOSED</t>
        </is>
      </c>
    </row>
    <row r="5" ht="30" customHeight="1">
      <c r="A5" s="5" t="inlineStr">
        <is>
          <t>#</t>
        </is>
      </c>
      <c r="B5" s="5" t="inlineStr">
        <is>
          <t>Owner</t>
        </is>
      </c>
      <c r="C5" s="5" t="inlineStr">
        <is>
          <t>Client</t>
        </is>
      </c>
      <c r="D5" s="5" t="inlineStr">
        <is>
          <t>EE</t>
        </is>
      </c>
      <c r="E5" s="5" t="inlineStr">
        <is>
          <t>Frequency</t>
        </is>
      </c>
      <c r="F5" s="5" t="inlineStr">
        <is>
          <t>Runs/yr</t>
        </is>
      </c>
      <c r="G5" s="6" t="inlineStr">
        <is>
          <t>Per run</t>
        </is>
      </c>
      <c r="H5" s="6" t="inlineStr">
        <is>
          <t>Annual</t>
        </is>
      </c>
      <c r="I5" s="7" t="inlineStr">
        <is>
          <t>Per run</t>
        </is>
      </c>
      <c r="J5" s="7" t="inlineStr">
        <is>
          <t>Annual</t>
        </is>
      </c>
      <c r="K5" s="5" t="inlineStr">
        <is>
          <t>Provider / Notes</t>
        </is>
      </c>
    </row>
    <row r="6">
      <c r="A6" s="8" t="n">
        <v>1</v>
      </c>
      <c r="B6" s="9" t="inlineStr">
        <is>
          <t>Robert Shaul</t>
        </is>
      </c>
      <c r="C6" s="9" t="inlineStr">
        <is>
          <t>Wisdom by Woods LLC</t>
        </is>
      </c>
      <c r="D6" s="8" t="n">
        <v>1</v>
      </c>
      <c r="E6" s="9" t="inlineStr">
        <is>
          <t>Monthly</t>
        </is>
      </c>
      <c r="F6" s="8" t="n">
        <v>12</v>
      </c>
      <c r="G6" s="10" t="n">
        <v>129.78</v>
      </c>
      <c r="H6" s="10">
        <f>F6*G6</f>
        <v/>
      </c>
      <c r="I6" s="11" t="n">
        <v>129.78</v>
      </c>
      <c r="J6" s="11">
        <f>F6*I6</f>
        <v/>
      </c>
      <c r="K6" s="9" t="inlineStr">
        <is>
          <t>Paychex</t>
        </is>
      </c>
    </row>
    <row r="7">
      <c r="A7" s="8" t="n">
        <v>2</v>
      </c>
      <c r="B7" s="9" t="inlineStr">
        <is>
          <t>Robert Tupe</t>
        </is>
      </c>
      <c r="C7" s="9" t="inlineStr">
        <is>
          <t>Upstate Logistics Group LLC</t>
        </is>
      </c>
      <c r="D7" s="8" t="n">
        <v>3</v>
      </c>
      <c r="E7" s="9" t="inlineStr">
        <is>
          <t>Biweekly</t>
        </is>
      </c>
      <c r="F7" s="8" t="n">
        <v>26</v>
      </c>
      <c r="G7" s="10" t="n">
        <v>78.56999999999999</v>
      </c>
      <c r="H7" s="10">
        <f>F7*G7</f>
        <v/>
      </c>
      <c r="I7" s="11" t="n">
        <v>78.56999999999999</v>
      </c>
      <c r="J7" s="11">
        <f>F7*I7</f>
        <v/>
      </c>
      <c r="K7" s="9" t="inlineStr">
        <is>
          <t>Paychex</t>
        </is>
      </c>
    </row>
    <row r="8">
      <c r="A8" s="8" t="n">
        <v>3</v>
      </c>
      <c r="B8" s="9" t="inlineStr">
        <is>
          <t>Hani Amiri Manesh</t>
        </is>
      </c>
      <c r="C8" s="9" t="inlineStr">
        <is>
          <t>Auction Time Pieces</t>
        </is>
      </c>
      <c r="D8" s="8" t="n">
        <v>2</v>
      </c>
      <c r="E8" s="9" t="inlineStr">
        <is>
          <t>Semi Monthly</t>
        </is>
      </c>
      <c r="F8" s="8" t="n">
        <v>24</v>
      </c>
      <c r="G8" s="10" t="n">
        <v>154.1</v>
      </c>
      <c r="H8" s="10">
        <f>F8*G8</f>
        <v/>
      </c>
      <c r="I8" s="11" t="n">
        <v>154.1</v>
      </c>
      <c r="J8" s="11">
        <f>F8*I8</f>
        <v/>
      </c>
      <c r="K8" s="9" t="inlineStr">
        <is>
          <t>Paychex</t>
        </is>
      </c>
    </row>
    <row r="9">
      <c r="A9" s="8" t="n">
        <v>4</v>
      </c>
      <c r="B9" s="9" t="inlineStr">
        <is>
          <t>Ty Tyree</t>
        </is>
      </c>
      <c r="C9" s="9" t="inlineStr">
        <is>
          <t>Tyree Advisory Group LLC</t>
        </is>
      </c>
      <c r="D9" s="8" t="n">
        <v>1</v>
      </c>
      <c r="E9" s="9" t="inlineStr">
        <is>
          <t>Monthly</t>
        </is>
      </c>
      <c r="F9" s="8" t="n">
        <v>12</v>
      </c>
      <c r="G9" s="10" t="n">
        <v>71.92</v>
      </c>
      <c r="H9" s="10">
        <f>F9*G9</f>
        <v/>
      </c>
      <c r="I9" s="11" t="n">
        <v>71.92</v>
      </c>
      <c r="J9" s="11">
        <f>F9*I9</f>
        <v/>
      </c>
      <c r="K9" s="9" t="inlineStr">
        <is>
          <t>Paychex</t>
        </is>
      </c>
    </row>
    <row r="10">
      <c r="A10" s="8" t="n">
        <v>5</v>
      </c>
      <c r="B10" s="9" t="inlineStr">
        <is>
          <t>Robert Watson</t>
        </is>
      </c>
      <c r="C10" s="9" t="inlineStr">
        <is>
          <t>Onchain Strategies LLC</t>
        </is>
      </c>
      <c r="D10" s="8" t="n">
        <v>1</v>
      </c>
      <c r="E10" s="9" t="inlineStr">
        <is>
          <t>Monthly</t>
        </is>
      </c>
      <c r="F10" s="8" t="n">
        <v>12</v>
      </c>
      <c r="G10" s="10" t="n">
        <v>101</v>
      </c>
      <c r="H10" s="10">
        <f>F10*G10</f>
        <v/>
      </c>
      <c r="I10" s="11" t="n">
        <v>101</v>
      </c>
      <c r="J10" s="11">
        <f>F10*I10</f>
        <v/>
      </c>
      <c r="K10" s="9" t="inlineStr">
        <is>
          <t>Paychex</t>
        </is>
      </c>
    </row>
    <row r="11">
      <c r="A11" s="8" t="n">
        <v>6</v>
      </c>
      <c r="B11" s="9" t="inlineStr">
        <is>
          <t>Ricardo De'Carvalho</t>
        </is>
      </c>
      <c r="C11" s="9" t="inlineStr">
        <is>
          <t>RJC Holdings</t>
        </is>
      </c>
      <c r="D11" s="8" t="n">
        <v>1</v>
      </c>
      <c r="E11" s="9" t="inlineStr">
        <is>
          <t>Monthly</t>
        </is>
      </c>
      <c r="F11" s="8" t="n">
        <v>12</v>
      </c>
      <c r="G11" s="10" t="n">
        <v>58</v>
      </c>
      <c r="H11" s="10">
        <f>F11*G11</f>
        <v/>
      </c>
      <c r="I11" s="11" t="n">
        <v>58</v>
      </c>
      <c r="J11" s="11">
        <f>F11*I11</f>
        <v/>
      </c>
      <c r="K11" s="9" t="inlineStr">
        <is>
          <t>Paychex</t>
        </is>
      </c>
    </row>
    <row r="12">
      <c r="A12" s="8" t="n">
        <v>7</v>
      </c>
      <c r="B12" s="9" t="inlineStr">
        <is>
          <t>Dave Truscello</t>
        </is>
      </c>
      <c r="C12" s="9" t="inlineStr">
        <is>
          <t>Backfin Logistics LLC</t>
        </is>
      </c>
      <c r="D12" s="8" t="n">
        <v>3</v>
      </c>
      <c r="E12" s="9" t="inlineStr">
        <is>
          <t>Semi Monthly</t>
        </is>
      </c>
      <c r="F12" s="8" t="n">
        <v>24</v>
      </c>
      <c r="G12" s="10" t="n">
        <v>98.5</v>
      </c>
      <c r="H12" s="10">
        <f>F12*G12</f>
        <v/>
      </c>
      <c r="I12" s="11" t="n">
        <v>98.5</v>
      </c>
      <c r="J12" s="11">
        <f>F12*I12</f>
        <v/>
      </c>
      <c r="K12" s="9" t="inlineStr">
        <is>
          <t>Paychex</t>
        </is>
      </c>
    </row>
    <row r="13">
      <c r="A13" s="8" t="n">
        <v>8</v>
      </c>
      <c r="B13" s="9" t="inlineStr">
        <is>
          <t>Niccolo Russino</t>
        </is>
      </c>
      <c r="C13" s="12" t="inlineStr">
        <is>
          <t>Walters Mirrors Inc</t>
        </is>
      </c>
      <c r="D13" s="8" t="n">
        <v>3</v>
      </c>
      <c r="E13" s="9" t="inlineStr">
        <is>
          <t>Biweekly</t>
        </is>
      </c>
      <c r="F13" s="8" t="n">
        <v>26</v>
      </c>
      <c r="G13" s="10" t="n">
        <v>502.15</v>
      </c>
      <c r="H13" s="10">
        <f>F13*G13</f>
        <v/>
      </c>
      <c r="I13" s="11" t="n">
        <v>261.95</v>
      </c>
      <c r="J13" s="11">
        <f>F13*I13</f>
        <v/>
      </c>
      <c r="K13" s="9" t="inlineStr">
        <is>
          <t>Paychex — ADP maxes at $261.95/run</t>
        </is>
      </c>
    </row>
    <row r="14">
      <c r="A14" s="8" t="n">
        <v>9</v>
      </c>
      <c r="B14" s="9" t="inlineStr">
        <is>
          <t>Spencer Thwaytes</t>
        </is>
      </c>
      <c r="C14" s="9" t="inlineStr">
        <is>
          <t>Spencer Thwaytes &amp; Co LLC</t>
        </is>
      </c>
      <c r="D14" s="8" t="n">
        <v>3</v>
      </c>
      <c r="E14" s="9" t="inlineStr">
        <is>
          <t>Monthly</t>
        </is>
      </c>
      <c r="F14" s="8" t="n">
        <v>12</v>
      </c>
      <c r="G14" s="10" t="n">
        <v>77</v>
      </c>
      <c r="H14" s="10">
        <f>F14*G14</f>
        <v/>
      </c>
      <c r="I14" s="11" t="n">
        <v>77</v>
      </c>
      <c r="J14" s="11">
        <f>F14*I14</f>
        <v/>
      </c>
      <c r="K14" s="9" t="inlineStr">
        <is>
          <t>Paychex</t>
        </is>
      </c>
    </row>
    <row r="15">
      <c r="A15" s="8" t="n">
        <v>10</v>
      </c>
      <c r="B15" s="9" t="inlineStr">
        <is>
          <t>Heather Kranz</t>
        </is>
      </c>
      <c r="C15" s="9" t="inlineStr">
        <is>
          <t>Kranz Motorcars LLC</t>
        </is>
      </c>
      <c r="D15" s="8" t="n">
        <v>1</v>
      </c>
      <c r="E15" s="9" t="inlineStr">
        <is>
          <t>Weekly</t>
        </is>
      </c>
      <c r="F15" s="8" t="n">
        <v>52</v>
      </c>
      <c r="G15" s="10" t="n">
        <v>59.5</v>
      </c>
      <c r="H15" s="10">
        <f>F15*G15</f>
        <v/>
      </c>
      <c r="I15" s="11" t="n">
        <v>59.5</v>
      </c>
      <c r="J15" s="11">
        <f>F15*I15</f>
        <v/>
      </c>
      <c r="K15" s="9" t="inlineStr">
        <is>
          <t>Paychex</t>
        </is>
      </c>
    </row>
    <row r="16">
      <c r="A16" s="8" t="n">
        <v>11</v>
      </c>
      <c r="B16" s="9" t="inlineStr">
        <is>
          <t>Oliver Beirne</t>
        </is>
      </c>
      <c r="C16" s="9" t="inlineStr">
        <is>
          <t>B333 Trading Group LLC</t>
        </is>
      </c>
      <c r="D16" s="8" t="n">
        <v>2</v>
      </c>
      <c r="E16" s="9" t="inlineStr">
        <is>
          <t>Monthly</t>
        </is>
      </c>
      <c r="F16" s="8" t="n">
        <v>12</v>
      </c>
      <c r="G16" s="13" t="inlineStr">
        <is>
          <t>—</t>
        </is>
      </c>
      <c r="H16" s="13" t="inlineStr">
        <is>
          <t>—</t>
        </is>
      </c>
      <c r="I16" s="11" t="n">
        <v>77</v>
      </c>
      <c r="J16" s="11">
        <f>F16*I16</f>
        <v/>
      </c>
      <c r="K16" s="9" t="inlineStr">
        <is>
          <t>Paychex (never ran)</t>
        </is>
      </c>
    </row>
    <row r="17">
      <c r="A17" s="8" t="n">
        <v>12</v>
      </c>
      <c r="B17" s="9" t="inlineStr">
        <is>
          <t>Anthony Gerb</t>
        </is>
      </c>
      <c r="C17" s="9" t="inlineStr">
        <is>
          <t>AJG Trading LLC</t>
        </is>
      </c>
      <c r="D17" s="8" t="n">
        <v>1</v>
      </c>
      <c r="E17" s="9" t="inlineStr">
        <is>
          <t>Monthly</t>
        </is>
      </c>
      <c r="F17" s="8" t="n">
        <v>12</v>
      </c>
      <c r="G17" s="13" t="inlineStr">
        <is>
          <t>—</t>
        </is>
      </c>
      <c r="H17" s="13" t="inlineStr">
        <is>
          <t>—</t>
        </is>
      </c>
      <c r="I17" s="11" t="n">
        <v>70</v>
      </c>
      <c r="J17" s="11">
        <f>F17*I17</f>
        <v/>
      </c>
      <c r="K17" s="9" t="inlineStr">
        <is>
          <t>New client</t>
        </is>
      </c>
    </row>
    <row r="18">
      <c r="A18" s="8" t="n">
        <v>13</v>
      </c>
      <c r="B18" s="9" t="inlineStr">
        <is>
          <t>Richard Zamilpa</t>
        </is>
      </c>
      <c r="C18" s="9" t="inlineStr">
        <is>
          <t>Complete Merchant Services Consulting</t>
        </is>
      </c>
      <c r="D18" s="8" t="n">
        <v>2</v>
      </c>
      <c r="E18" s="9" t="inlineStr">
        <is>
          <t>Monthly</t>
        </is>
      </c>
      <c r="F18" s="8" t="n">
        <v>12</v>
      </c>
      <c r="G18" s="10" t="n">
        <v>100</v>
      </c>
      <c r="H18" s="10">
        <f>F18*G18</f>
        <v/>
      </c>
      <c r="I18" s="11" t="n">
        <v>100</v>
      </c>
      <c r="J18" s="11">
        <f>F18*I18</f>
        <v/>
      </c>
      <c r="K18" s="9" t="inlineStr">
        <is>
          <t>Gusto</t>
        </is>
      </c>
    </row>
    <row r="19">
      <c r="A19" s="8" t="n">
        <v>14</v>
      </c>
      <c r="B19" s="9" t="inlineStr">
        <is>
          <t>Frank Giordano</t>
        </is>
      </c>
      <c r="C19" s="9" t="inlineStr">
        <is>
          <t>FRG Advisory, LLC</t>
        </is>
      </c>
      <c r="D19" s="8" t="n">
        <v>1</v>
      </c>
      <c r="E19" s="9" t="inlineStr">
        <is>
          <t>Monthly</t>
        </is>
      </c>
      <c r="F19" s="8" t="n">
        <v>12</v>
      </c>
      <c r="G19" s="10" t="n">
        <v>50</v>
      </c>
      <c r="H19" s="10">
        <f>F19*G19</f>
        <v/>
      </c>
      <c r="I19" s="11" t="n">
        <v>50</v>
      </c>
      <c r="J19" s="11">
        <f>F19*I19</f>
        <v/>
      </c>
      <c r="K19" s="9" t="inlineStr">
        <is>
          <t>Gusto</t>
        </is>
      </c>
    </row>
    <row r="20">
      <c r="A20" s="8" t="n">
        <v>15</v>
      </c>
      <c r="B20" s="9" t="inlineStr">
        <is>
          <t>Alexander Harris</t>
        </is>
      </c>
      <c r="C20" s="9" t="inlineStr">
        <is>
          <t>Kapstone Digital LLC</t>
        </is>
      </c>
      <c r="D20" s="8" t="n">
        <v>1</v>
      </c>
      <c r="E20" s="9" t="inlineStr">
        <is>
          <t>Monthly</t>
        </is>
      </c>
      <c r="F20" s="8" t="n">
        <v>12</v>
      </c>
      <c r="G20" s="13" t="inlineStr">
        <is>
          <t>—</t>
        </is>
      </c>
      <c r="H20" s="13" t="inlineStr">
        <is>
          <t>—</t>
        </is>
      </c>
      <c r="I20" s="11" t="n">
        <v>70</v>
      </c>
      <c r="J20" s="11">
        <f>F20*I20</f>
        <v/>
      </c>
      <c r="K20" s="9" t="inlineStr">
        <is>
          <t>New client</t>
        </is>
      </c>
    </row>
    <row r="21">
      <c r="A21" s="8" t="n">
        <v>16</v>
      </c>
      <c r="B21" s="9" t="inlineStr">
        <is>
          <t>Benjamin Solomon</t>
        </is>
      </c>
      <c r="C21" s="9" t="inlineStr">
        <is>
          <t>Broadway 2000, Inc</t>
        </is>
      </c>
      <c r="D21" s="8" t="n">
        <v>1</v>
      </c>
      <c r="E21" s="9" t="inlineStr">
        <is>
          <t>Yearly</t>
        </is>
      </c>
      <c r="F21" s="8" t="n">
        <v>1</v>
      </c>
      <c r="G21" s="10" t="n">
        <v>400</v>
      </c>
      <c r="H21" s="10">
        <f>F21*G21</f>
        <v/>
      </c>
      <c r="I21" s="11" t="n">
        <v>400</v>
      </c>
      <c r="J21" s="11">
        <f>F21*I21</f>
        <v/>
      </c>
      <c r="K21" s="9" t="inlineStr">
        <is>
          <t>IRS direct</t>
        </is>
      </c>
    </row>
    <row r="22">
      <c r="A22" s="8" t="n">
        <v>17</v>
      </c>
      <c r="B22" s="9" t="inlineStr">
        <is>
          <t>John Ewing</t>
        </is>
      </c>
      <c r="C22" s="9" t="inlineStr">
        <is>
          <t>Atlas Opera, Inc.</t>
        </is>
      </c>
      <c r="D22" s="8" t="n">
        <v>1</v>
      </c>
      <c r="E22" s="9" t="inlineStr">
        <is>
          <t>Monthly</t>
        </is>
      </c>
      <c r="F22" s="8" t="n">
        <v>12</v>
      </c>
      <c r="G22" s="13" t="inlineStr">
        <is>
          <t>—</t>
        </is>
      </c>
      <c r="H22" s="13" t="inlineStr">
        <is>
          <t>—</t>
        </is>
      </c>
      <c r="I22" s="11" t="n">
        <v>70</v>
      </c>
      <c r="J22" s="11">
        <f>F22*I22</f>
        <v/>
      </c>
      <c r="K22" s="9" t="inlineStr">
        <is>
          <t>New client</t>
        </is>
      </c>
    </row>
    <row r="23">
      <c r="A23" s="8" t="n">
        <v>18</v>
      </c>
      <c r="B23" s="9" t="inlineStr">
        <is>
          <t>Christina Pellicane</t>
        </is>
      </c>
      <c r="C23" s="9" t="inlineStr">
        <is>
          <t>North Star Works, LLC</t>
        </is>
      </c>
      <c r="D23" s="8" t="n">
        <v>1</v>
      </c>
      <c r="E23" s="9" t="inlineStr">
        <is>
          <t>Monthly</t>
        </is>
      </c>
      <c r="F23" s="8" t="n">
        <v>12</v>
      </c>
      <c r="G23" s="13" t="inlineStr">
        <is>
          <t>—</t>
        </is>
      </c>
      <c r="H23" s="13" t="inlineStr">
        <is>
          <t>—</t>
        </is>
      </c>
      <c r="I23" s="11" t="n">
        <v>50</v>
      </c>
      <c r="J23" s="11">
        <f>F23*I23</f>
        <v/>
      </c>
      <c r="K23" s="9" t="inlineStr">
        <is>
          <t>New client</t>
        </is>
      </c>
    </row>
    <row r="24">
      <c r="A24" s="14" t="n"/>
      <c r="B24" s="14" t="n"/>
      <c r="C24" s="14" t="inlineStr">
        <is>
          <t>TOTAL</t>
        </is>
      </c>
      <c r="D24" s="14" t="n"/>
      <c r="E24" s="14" t="n"/>
      <c r="F24" s="14" t="n"/>
      <c r="G24" s="14" t="n"/>
      <c r="H24" s="15">
        <f>SUM(H6:H23)</f>
        <v/>
      </c>
      <c r="I24" s="14" t="n"/>
      <c r="J24" s="15">
        <f>SUM(J6:J23)</f>
        <v/>
      </c>
      <c r="K24" s="14" t="n"/>
    </row>
    <row r="26">
      <c r="A26" s="16" t="inlineStr">
        <is>
          <t>NOTES</t>
        </is>
      </c>
    </row>
    <row r="27">
      <c r="A27" s="17" t="inlineStr">
        <is>
          <t>Current cost excludes one-time setup fees and missing state/local ID penalties. Those stop once registrations are filed.</t>
        </is>
      </c>
    </row>
    <row r="28">
      <c r="A28" s="17" t="inlineStr">
        <is>
          <t>Recurring charges are included: Delivery, Taxpay Locals, Direct Deposit Premium Processing.</t>
        </is>
      </c>
    </row>
    <row r="29">
      <c r="A29" s="17" t="inlineStr">
        <is>
          <t>Complete Merchant and FRG are on Gusto. Broadway 2000 pays through IRS Treasury online.</t>
        </is>
      </c>
    </row>
    <row r="30">
      <c r="A30" s="17" t="inlineStr">
        <is>
          <t>B333, AJG, Kapstone, Atlas Opera and North Star have no current payroll cost.</t>
        </is>
      </c>
    </row>
    <row r="31">
      <c r="A31" s="17" t="inlineStr">
        <is>
          <t>Kranz, Upstate, Tyree and RJC still on your figures — no invoice received yet.</t>
        </is>
      </c>
    </row>
    <row r="32">
      <c r="A32" s="17" t="inlineStr">
        <is>
          <t>401(k) is priced separately and is not in this sheet.</t>
        </is>
      </c>
    </row>
  </sheetData>
  <mergeCells count="4">
    <mergeCell ref="A2:K2"/>
    <mergeCell ref="G4:H4"/>
    <mergeCell ref="A1:K1"/>
    <mergeCell ref="I4:J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2026-09-23T15:15:31Z</dcterms:created>
  <dcterms:modified xsi:type="dcterms:W3CDTF">2026-09-23T15:15:31Z</dcterms:modified>
</cp:coreProperties>
</file>