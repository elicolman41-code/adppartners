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 Clients" sheetId="1" state="visible" r:id="rId1"/>
    <sheet name="New Clients - Platinum" sheetId="2" state="visible" r:id="rId2"/>
    <sheet name="Packages - Zone 7" sheetId="3" state="visible" r:id="rId3"/>
    <sheet name="Payo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0&quot;x&quot;"/>
  </numFmts>
  <fonts count="12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  <font>
      <i val="1"/>
    </font>
    <font>
      <b val="1"/>
      <color rgb="00FFFFFF"/>
      <sz val="14"/>
    </font>
    <font>
      <i val="1"/>
      <sz val="10"/>
    </font>
    <font>
      <b val="1"/>
      <sz val="10"/>
    </font>
    <font>
      <i val="1"/>
      <sz val="9"/>
    </font>
    <font>
      <sz val="10"/>
    </font>
    <font/>
    <font>
      <b val="1"/>
      <sz val="11"/>
    </font>
    <font>
      <b val="1"/>
      <sz val="13"/>
    </font>
  </fonts>
  <fills count="9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C6E0B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4" fillId="2" borderId="0" pivotButton="0" quotePrefix="0" xfId="0"/>
    <xf numFmtId="0" fontId="5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3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3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6" fillId="5" borderId="1" pivotButton="0" quotePrefix="0" xfId="0"/>
    <xf numFmtId="165" fontId="0" fillId="7" borderId="1" pivotButton="0" quotePrefix="0" xfId="0"/>
    <xf numFmtId="164" fontId="0" fillId="6" borderId="1" pivotButton="0" quotePrefix="0" xfId="0"/>
    <xf numFmtId="0" fontId="7" fillId="3" borderId="1" pivotButton="0" quotePrefix="0" xfId="0"/>
    <xf numFmtId="0" fontId="7" fillId="0" borderId="1" pivotButton="0" quotePrefix="0" xfId="0"/>
    <xf numFmtId="0" fontId="0" fillId="7" borderId="1" pivotButton="0" quotePrefix="0" xfId="0"/>
    <xf numFmtId="0" fontId="2" fillId="7" borderId="1" pivotButton="0" quotePrefix="0" xfId="0"/>
    <xf numFmtId="164" fontId="2" fillId="7" borderId="1" pivotButton="0" quotePrefix="0" xfId="0"/>
    <xf numFmtId="0" fontId="5" fillId="0" borderId="0" pivotButton="0" quotePrefix="0" xfId="0"/>
    <xf numFmtId="0" fontId="6" fillId="8" borderId="0" pivotButton="0" quotePrefix="0" xfId="0"/>
    <xf numFmtId="0" fontId="0" fillId="8" borderId="0" pivotButton="0" quotePrefix="0" xfId="0"/>
    <xf numFmtId="0" fontId="8" fillId="0" borderId="0" pivotButton="0" quotePrefix="0" xfId="0"/>
    <xf numFmtId="164" fontId="9" fillId="0" borderId="0" pivotButton="0" quotePrefix="0" xfId="0"/>
    <xf numFmtId="0" fontId="7" fillId="0" borderId="0" pivotButton="0" quotePrefix="0" xfId="0"/>
    <xf numFmtId="166" fontId="9" fillId="0" borderId="0" pivotButton="0" quotePrefix="0" xfId="0"/>
    <xf numFmtId="0" fontId="10" fillId="0" borderId="0" pivotButton="0" quotePrefix="0" xfId="0"/>
    <xf numFmtId="164" fontId="2" fillId="0" borderId="0" pivotButton="0" quotePrefix="0" xfId="0"/>
    <xf numFmtId="0" fontId="10" fillId="7" borderId="0" pivotButton="0" quotePrefix="0" xfId="0"/>
    <xf numFmtId="0" fontId="0" fillId="7" borderId="0" pivotButton="0" quotePrefix="0" xfId="0"/>
    <xf numFmtId="164" fontId="11" fillId="7" borderId="0" pivotButton="0" quotePrefix="0" xfId="0"/>
    <xf numFmtId="0" fontId="2" fillId="0" borderId="0" pivotButton="0" quotePrefix="0" xfId="0"/>
    <xf numFmtId="0" fontId="2" fillId="4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5" ySplit="8" topLeftCell="F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14" customWidth="1" min="3" max="3"/>
    <col width="17" customWidth="1" min="4" max="4"/>
    <col width="34" customWidth="1" min="5" max="5"/>
    <col width="13" customWidth="1" min="6" max="6"/>
    <col width="25" customWidth="1" min="7" max="7"/>
    <col width="23" customWidth="1" min="8" max="8"/>
    <col width="5" customWidth="1" min="9" max="9"/>
    <col width="13" customWidth="1" min="10" max="10"/>
    <col width="8" customWidth="1" min="11" max="11"/>
    <col width="12" customWidth="1" min="12" max="12"/>
    <col width="13" customWidth="1" min="13" max="13"/>
    <col width="10" customWidth="1" min="14" max="14"/>
    <col width="15" customWidth="1" min="15" max="15"/>
    <col width="11" customWidth="1" min="16" max="16"/>
    <col width="14" customWidth="1" min="17" max="17"/>
    <col width="32" customWidth="1" min="18" max="18"/>
    <col width="12" customWidth="1" min="19" max="19"/>
    <col width="11" customWidth="1" min="20" max="20"/>
    <col width="13" customWidth="1" min="21" max="21"/>
    <col width="13" customWidth="1" min="22" max="22"/>
    <col width="38" customWidth="1" min="23" max="23"/>
  </cols>
  <sheetData>
    <row r="1" ht="26" customHeight="1">
      <c r="A1" s="1" t="inlineStr">
        <is>
          <t>GRID CLIENTS — 2x CONVERSIONS</t>
        </is>
      </c>
    </row>
    <row r="2">
      <c r="A2" s="2" t="inlineStr">
        <is>
          <t>Package is locked at submission. Adjust the yellow percentage and the price and annual follow.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4" t="n"/>
    </row>
    <row r="3">
      <c r="A3" s="5" t="inlineStr">
        <is>
          <t>Tyree Advisory Group LLC</t>
        </is>
      </c>
      <c r="B3" s="6" t="n"/>
      <c r="C3" s="6" t="inlineStr">
        <is>
          <t>Monthly, 12 runs, 1 EE</t>
        </is>
      </c>
      <c r="D3" s="6" t="n"/>
      <c r="E3" s="7" t="n">
        <v>71.92</v>
      </c>
      <c r="F3" s="6" t="inlineStr">
        <is>
          <t>per run, original figure</t>
        </is>
      </c>
      <c r="G3" s="6" t="n"/>
    </row>
    <row r="4">
      <c r="A4" s="5" t="inlineStr">
        <is>
          <t>RJC Holdings</t>
        </is>
      </c>
      <c r="B4" s="6" t="n"/>
      <c r="C4" s="6" t="inlineStr">
        <is>
          <t>Monthly, 12 runs, 1 EE</t>
        </is>
      </c>
      <c r="D4" s="6" t="n"/>
      <c r="E4" s="7" t="n">
        <v>58</v>
      </c>
      <c r="F4" s="6" t="inlineStr">
        <is>
          <t>per run, original figure</t>
        </is>
      </c>
      <c r="G4" s="6" t="n"/>
    </row>
    <row r="5">
      <c r="A5" s="5" t="inlineStr">
        <is>
          <t>Kranz Motorcars LLC</t>
        </is>
      </c>
      <c r="B5" s="6" t="n"/>
      <c r="C5" s="6" t="inlineStr">
        <is>
          <t>Weekly, 52 runs, 1 EE</t>
        </is>
      </c>
      <c r="D5" s="6" t="n"/>
      <c r="E5" s="7" t="n">
        <v>59.5</v>
      </c>
      <c r="F5" s="6" t="inlineStr">
        <is>
          <t>per run, original figure</t>
        </is>
      </c>
      <c r="G5" s="6" t="n"/>
    </row>
    <row r="6">
      <c r="A6" s="8" t="inlineStr">
        <is>
          <t>4 of 13 Grid clients still on original figures. The other 9 are verified by invoice or by Stephen’s 9/22 email.</t>
        </is>
      </c>
    </row>
    <row r="8" ht="44" customHeight="1">
      <c r="A8" s="9" t="inlineStr">
        <is>
          <t>#</t>
        </is>
      </c>
      <c r="B8" s="9" t="inlineStr">
        <is>
          <t>Owner First</t>
        </is>
      </c>
      <c r="C8" s="9" t="inlineStr">
        <is>
          <t>Owner Last</t>
        </is>
      </c>
      <c r="D8" s="9" t="inlineStr">
        <is>
          <t>Status</t>
        </is>
      </c>
      <c r="E8" s="9" t="inlineStr">
        <is>
          <t>Client Legal Name</t>
        </is>
      </c>
      <c r="F8" s="9" t="inlineStr">
        <is>
          <t>EIN</t>
        </is>
      </c>
      <c r="G8" s="9" t="inlineStr">
        <is>
          <t>Address</t>
        </is>
      </c>
      <c r="H8" s="9" t="inlineStr">
        <is>
          <t>City, State Zip</t>
        </is>
      </c>
      <c r="I8" s="9" t="inlineStr">
        <is>
          <t>EE</t>
        </is>
      </c>
      <c r="J8" s="9" t="inlineStr">
        <is>
          <t>Frequency</t>
        </is>
      </c>
      <c r="K8" s="9" t="inlineStr">
        <is>
          <t>Runs/yr</t>
        </is>
      </c>
      <c r="L8" s="9" t="inlineStr">
        <is>
          <t>Current fee per run</t>
        </is>
      </c>
      <c r="M8" s="9" t="inlineStr">
        <is>
          <t>Current run rate</t>
        </is>
      </c>
      <c r="N8" s="9" t="inlineStr">
        <is>
          <t>401(k) plan</t>
        </is>
      </c>
      <c r="O8" s="9" t="inlineStr">
        <is>
          <t>401(k) recurring annual</t>
        </is>
      </c>
      <c r="P8" s="9" t="inlineStr">
        <is>
          <t>Other CY fees</t>
        </is>
      </c>
      <c r="Q8" s="9" t="inlineStr">
        <is>
          <t>Total current annual</t>
        </is>
      </c>
      <c r="R8" s="10" t="inlineStr">
        <is>
          <t>ADP PACKAGE (locked)</t>
        </is>
      </c>
      <c r="S8" s="11" t="inlineStr">
        <is>
          <t>ADP list per run</t>
        </is>
      </c>
      <c r="T8" s="11" t="inlineStr">
        <is>
          <t>Adjustment %</t>
        </is>
      </c>
      <c r="U8" s="11" t="inlineStr">
        <is>
          <t>ADP price per run</t>
        </is>
      </c>
      <c r="V8" s="11" t="inlineStr">
        <is>
          <t>ADP annual</t>
        </is>
      </c>
      <c r="W8" s="9" t="inlineStr">
        <is>
          <t>Flag</t>
        </is>
      </c>
    </row>
    <row r="9">
      <c r="A9" s="12" t="n">
        <v>1</v>
      </c>
      <c r="B9" s="12" t="inlineStr">
        <is>
          <t xml:space="preserve">Robert </t>
        </is>
      </c>
      <c r="C9" s="12" t="inlineStr">
        <is>
          <t>Shaul</t>
        </is>
      </c>
      <c r="D9" s="12" t="inlineStr">
        <is>
          <t>Existing</t>
        </is>
      </c>
      <c r="E9" s="12" t="inlineStr">
        <is>
          <t>Wisdom by Woods LLC</t>
        </is>
      </c>
      <c r="F9" s="12" t="inlineStr">
        <is>
          <t>93-3723791</t>
        </is>
      </c>
      <c r="G9" s="12" t="inlineStr">
        <is>
          <t>5320 Blue Reed Lane</t>
        </is>
      </c>
      <c r="H9" s="12" t="inlineStr">
        <is>
          <t>Lake Worth, FL 33467</t>
        </is>
      </c>
      <c r="I9" s="12" t="n">
        <v>1</v>
      </c>
      <c r="J9" s="12" t="inlineStr">
        <is>
          <t>Monthly</t>
        </is>
      </c>
      <c r="K9" s="12" t="n">
        <v>12</v>
      </c>
      <c r="L9" s="13" t="n">
        <v>129.78</v>
      </c>
      <c r="M9" s="13">
        <f>K9*L9</f>
        <v/>
      </c>
      <c r="N9" s="12" t="n"/>
      <c r="O9" s="13" t="n">
        <v>0</v>
      </c>
      <c r="P9" s="13" t="n">
        <v>200</v>
      </c>
      <c r="Q9" s="13">
        <f>M9+IF(ISNUMBER(O9),O9,0)+IF(ISNUMBER(P9),P9,0)</f>
        <v/>
      </c>
      <c r="R9" s="14" t="inlineStr">
        <is>
          <t>ADP Complete Payroll and HR Plus</t>
        </is>
      </c>
      <c r="S9" s="13" t="n">
        <v>258.95</v>
      </c>
      <c r="T9" s="15" t="n">
        <v>0</v>
      </c>
      <c r="U9" s="16">
        <f>S9*(1-T9)</f>
        <v/>
      </c>
      <c r="V9" s="13">
        <f>K9*U9</f>
        <v/>
      </c>
      <c r="W9" s="12" t="n"/>
    </row>
    <row r="10">
      <c r="A10" s="12" t="n">
        <v>2</v>
      </c>
      <c r="B10" s="12" t="inlineStr">
        <is>
          <t>Robert</t>
        </is>
      </c>
      <c r="C10" s="12" t="inlineStr">
        <is>
          <t>Tupe</t>
        </is>
      </c>
      <c r="D10" s="12" t="inlineStr">
        <is>
          <t>Existing</t>
        </is>
      </c>
      <c r="E10" s="12" t="inlineStr">
        <is>
          <t>Upstate Logistics Group LLC</t>
        </is>
      </c>
      <c r="F10" s="12" t="inlineStr">
        <is>
          <t>33-4154077</t>
        </is>
      </c>
      <c r="G10" s="12" t="inlineStr">
        <is>
          <t>2107 Goldfinch Blvd</t>
        </is>
      </c>
      <c r="H10" s="12" t="inlineStr">
        <is>
          <t>Princeton, NJ 08540</t>
        </is>
      </c>
      <c r="I10" s="12" t="n">
        <v>3</v>
      </c>
      <c r="J10" s="12" t="inlineStr">
        <is>
          <t>Biweekly</t>
        </is>
      </c>
      <c r="K10" s="12" t="n">
        <v>26</v>
      </c>
      <c r="L10" s="13" t="n">
        <v>78.56999999999999</v>
      </c>
      <c r="M10" s="13">
        <f>K10*L10</f>
        <v/>
      </c>
      <c r="N10" s="12" t="n"/>
      <c r="O10" s="13" t="n">
        <v>0</v>
      </c>
      <c r="P10" s="13" t="n">
        <v>200</v>
      </c>
      <c r="Q10" s="13">
        <f>M10+IF(ISNUMBER(O10),O10,0)+IF(ISNUMBER(P10),P10,0)</f>
        <v/>
      </c>
      <c r="R10" s="14" t="inlineStr">
        <is>
          <t>ADP Enhanced Payroll</t>
        </is>
      </c>
      <c r="S10" s="13" t="n">
        <v>100.15</v>
      </c>
      <c r="T10" s="15" t="n">
        <v>0</v>
      </c>
      <c r="U10" s="16">
        <f>S10*(1-T10)</f>
        <v/>
      </c>
      <c r="V10" s="13">
        <f>K10*U10</f>
        <v/>
      </c>
      <c r="W10" s="17" t="inlineStr">
        <is>
          <t>NO INVOICE — figure is unverified</t>
        </is>
      </c>
    </row>
    <row r="11">
      <c r="A11" s="12" t="n">
        <v>3</v>
      </c>
      <c r="B11" s="12" t="inlineStr">
        <is>
          <t>Hani</t>
        </is>
      </c>
      <c r="C11" s="12" t="inlineStr">
        <is>
          <t>Amiri Manesh</t>
        </is>
      </c>
      <c r="D11" s="12" t="inlineStr">
        <is>
          <t>Existing</t>
        </is>
      </c>
      <c r="E11" s="12" t="inlineStr">
        <is>
          <t>Auction Time Pieces</t>
        </is>
      </c>
      <c r="F11" s="12" t="inlineStr">
        <is>
          <t>42-2190303</t>
        </is>
      </c>
      <c r="G11" s="12" t="inlineStr">
        <is>
          <t>24324 Walnut Steeer Suite B</t>
        </is>
      </c>
      <c r="H11" s="12" t="inlineStr">
        <is>
          <t>Newhall, CA 91321</t>
        </is>
      </c>
      <c r="I11" s="12" t="n">
        <v>2</v>
      </c>
      <c r="J11" s="12" t="inlineStr">
        <is>
          <t>Semi Monthly</t>
        </is>
      </c>
      <c r="K11" s="12" t="n">
        <v>24</v>
      </c>
      <c r="L11" s="13" t="n">
        <v>154.1</v>
      </c>
      <c r="M11" s="13">
        <f>K11*L11</f>
        <v/>
      </c>
      <c r="N11" s="12" t="n"/>
      <c r="O11" s="13" t="n">
        <v>0</v>
      </c>
      <c r="P11" s="13" t="n">
        <v>100</v>
      </c>
      <c r="Q11" s="13">
        <f>M11+IF(ISNUMBER(O11),O11,0)+IF(ISNUMBER(P11),P11,0)</f>
        <v/>
      </c>
      <c r="R11" s="14" t="inlineStr">
        <is>
          <t>ADP Complete Payroll and HR Plus</t>
        </is>
      </c>
      <c r="S11" s="13" t="n">
        <v>181.95</v>
      </c>
      <c r="T11" s="15" t="n">
        <v>0</v>
      </c>
      <c r="U11" s="16">
        <f>S11*(1-T11)</f>
        <v/>
      </c>
      <c r="V11" s="13">
        <f>K11*U11</f>
        <v/>
      </c>
      <c r="W11" s="12" t="n"/>
    </row>
    <row r="12">
      <c r="A12" s="12" t="n">
        <v>4</v>
      </c>
      <c r="B12" s="12" t="inlineStr">
        <is>
          <t>Ty</t>
        </is>
      </c>
      <c r="C12" s="12" t="inlineStr">
        <is>
          <t>Tyree</t>
        </is>
      </c>
      <c r="D12" s="12" t="inlineStr">
        <is>
          <t>Existing</t>
        </is>
      </c>
      <c r="E12" s="12" t="inlineStr">
        <is>
          <t>Tyree Advisory Group LLC</t>
        </is>
      </c>
      <c r="F12" s="12" t="inlineStr">
        <is>
          <t>42-1951214</t>
        </is>
      </c>
      <c r="G12" s="12" t="inlineStr">
        <is>
          <t>106 W Dorothys Way</t>
        </is>
      </c>
      <c r="H12" s="12" t="inlineStr">
        <is>
          <t>Lincoln University, PA 19352</t>
        </is>
      </c>
      <c r="I12" s="12" t="n">
        <v>1</v>
      </c>
      <c r="J12" s="12" t="inlineStr">
        <is>
          <t>Monthly</t>
        </is>
      </c>
      <c r="K12" s="12" t="n">
        <v>12</v>
      </c>
      <c r="L12" s="13" t="n">
        <v>71.92</v>
      </c>
      <c r="M12" s="13">
        <f>K12*L12</f>
        <v/>
      </c>
      <c r="N12" s="12" t="n"/>
      <c r="O12" s="13" t="n">
        <v>0</v>
      </c>
      <c r="P12" s="13" t="n">
        <v>200</v>
      </c>
      <c r="Q12" s="13">
        <f>M12+IF(ISNUMBER(O12),O12,0)+IF(ISNUMBER(P12),P12,0)</f>
        <v/>
      </c>
      <c r="R12" s="14" t="inlineStr">
        <is>
          <t>ADP Enhanced Payroll</t>
        </is>
      </c>
      <c r="S12" s="13" t="n">
        <v>125.95</v>
      </c>
      <c r="T12" s="15" t="n">
        <v>0</v>
      </c>
      <c r="U12" s="16">
        <f>S12*(1-T12)</f>
        <v/>
      </c>
      <c r="V12" s="13">
        <f>K12*U12</f>
        <v/>
      </c>
      <c r="W12" s="17" t="inlineStr">
        <is>
          <t>NO INVOICE — figure is unverified</t>
        </is>
      </c>
    </row>
    <row r="13">
      <c r="A13" s="12" t="n">
        <v>5</v>
      </c>
      <c r="B13" s="12" t="inlineStr">
        <is>
          <t xml:space="preserve">Robert </t>
        </is>
      </c>
      <c r="C13" s="12" t="inlineStr">
        <is>
          <t>Watson</t>
        </is>
      </c>
      <c r="D13" s="12" t="inlineStr">
        <is>
          <t>Existing</t>
        </is>
      </c>
      <c r="E13" s="12" t="inlineStr">
        <is>
          <t>Onchain Strategies LLC</t>
        </is>
      </c>
      <c r="F13" s="12" t="inlineStr">
        <is>
          <t>33-3282413</t>
        </is>
      </c>
      <c r="G13" s="12" t="inlineStr">
        <is>
          <t>655 Pyrite Will St</t>
        </is>
      </c>
      <c r="H13" s="12" t="inlineStr">
        <is>
          <t>Las Vegas, NV 89138</t>
        </is>
      </c>
      <c r="I13" s="12" t="n">
        <v>1</v>
      </c>
      <c r="J13" s="12" t="inlineStr">
        <is>
          <t>Monthly</t>
        </is>
      </c>
      <c r="K13" s="12" t="n">
        <v>12</v>
      </c>
      <c r="L13" s="13" t="n">
        <v>101</v>
      </c>
      <c r="M13" s="13">
        <f>K13*L13</f>
        <v/>
      </c>
      <c r="N13" s="12" t="inlineStr">
        <is>
          <t>Yes</t>
        </is>
      </c>
      <c r="O13" s="13" t="n">
        <v>2172</v>
      </c>
      <c r="P13" s="13" t="n">
        <v>0</v>
      </c>
      <c r="Q13" s="13">
        <f>M13+IF(ISNUMBER(O13),O13,0)+IF(ISNUMBER(P13),P13,0)</f>
        <v/>
      </c>
      <c r="R13" s="14" t="inlineStr">
        <is>
          <t>ADP Enhanced Payroll</t>
        </is>
      </c>
      <c r="S13" s="13" t="n">
        <v>125.95</v>
      </c>
      <c r="T13" s="15" t="n">
        <v>0</v>
      </c>
      <c r="U13" s="16">
        <f>S13*(1-T13)</f>
        <v/>
      </c>
      <c r="V13" s="13">
        <f>K13*U13</f>
        <v/>
      </c>
      <c r="W13" s="12" t="n"/>
    </row>
    <row r="14">
      <c r="A14" s="12" t="n">
        <v>6</v>
      </c>
      <c r="B14" s="12" t="inlineStr">
        <is>
          <t xml:space="preserve">Ricardo </t>
        </is>
      </c>
      <c r="C14" s="12" t="inlineStr">
        <is>
          <t>De'Carvalho</t>
        </is>
      </c>
      <c r="D14" s="12" t="inlineStr">
        <is>
          <t>Existing</t>
        </is>
      </c>
      <c r="E14" s="12" t="inlineStr">
        <is>
          <t>RJC Holdings</t>
        </is>
      </c>
      <c r="F14" s="12" t="inlineStr">
        <is>
          <t>86-2385686</t>
        </is>
      </c>
      <c r="G14" s="12" t="inlineStr">
        <is>
          <t>6278 North Federal Highway</t>
        </is>
      </c>
      <c r="H14" s="12" t="inlineStr">
        <is>
          <t>Fort Lauderdale, FL 33308</t>
        </is>
      </c>
      <c r="I14" s="12" t="n">
        <v>1</v>
      </c>
      <c r="J14" s="12" t="inlineStr">
        <is>
          <t>Monthly</t>
        </is>
      </c>
      <c r="K14" s="12" t="n">
        <v>12</v>
      </c>
      <c r="L14" s="13" t="n">
        <v>58</v>
      </c>
      <c r="M14" s="13">
        <f>K14*L14</f>
        <v/>
      </c>
      <c r="N14" s="12" t="n"/>
      <c r="O14" s="13" t="n">
        <v>0</v>
      </c>
      <c r="P14" s="13" t="n">
        <v>0</v>
      </c>
      <c r="Q14" s="13">
        <f>M14+IF(ISNUMBER(O14),O14,0)+IF(ISNUMBER(P14),P14,0)</f>
        <v/>
      </c>
      <c r="R14" s="14" t="inlineStr">
        <is>
          <t>ADP Enhanced Payroll</t>
        </is>
      </c>
      <c r="S14" s="13" t="n">
        <v>125.95</v>
      </c>
      <c r="T14" s="15" t="n">
        <v>0</v>
      </c>
      <c r="U14" s="16">
        <f>S14*(1-T14)</f>
        <v/>
      </c>
      <c r="V14" s="13">
        <f>K14*U14</f>
        <v/>
      </c>
      <c r="W14" s="17" t="inlineStr">
        <is>
          <t>NO INVOICE — figure is unverified</t>
        </is>
      </c>
    </row>
    <row r="15">
      <c r="A15" s="12" t="n">
        <v>7</v>
      </c>
      <c r="B15" s="12" t="inlineStr">
        <is>
          <t xml:space="preserve">Dave </t>
        </is>
      </c>
      <c r="C15" s="12" t="inlineStr">
        <is>
          <t>Truscello</t>
        </is>
      </c>
      <c r="D15" s="12" t="inlineStr">
        <is>
          <t>Existing</t>
        </is>
      </c>
      <c r="E15" s="12" t="inlineStr">
        <is>
          <t>Backfin Logistics LLC</t>
        </is>
      </c>
      <c r="F15" s="12" t="inlineStr">
        <is>
          <t>33-4371485</t>
        </is>
      </c>
      <c r="G15" s="12" t="inlineStr">
        <is>
          <t>7921 SPRINGWAY RD</t>
        </is>
      </c>
      <c r="H15" s="12" t="inlineStr">
        <is>
          <t>Towson, MD 21204</t>
        </is>
      </c>
      <c r="I15" s="12" t="n">
        <v>3</v>
      </c>
      <c r="J15" s="12" t="inlineStr">
        <is>
          <t>Semi Monthly</t>
        </is>
      </c>
      <c r="K15" s="12" t="n">
        <v>24</v>
      </c>
      <c r="L15" s="13" t="n">
        <v>98.5</v>
      </c>
      <c r="M15" s="13">
        <f>K15*L15</f>
        <v/>
      </c>
      <c r="N15" s="12" t="n"/>
      <c r="O15" s="13" t="n">
        <v>0</v>
      </c>
      <c r="P15" s="13" t="n">
        <v>0</v>
      </c>
      <c r="Q15" s="13">
        <f>M15+IF(ISNUMBER(O15),O15,0)+IF(ISNUMBER(P15),P15,0)</f>
        <v/>
      </c>
      <c r="R15" s="14" t="inlineStr">
        <is>
          <t>ADP Enhanced Payroll</t>
        </is>
      </c>
      <c r="S15" s="13" t="n">
        <v>106.55</v>
      </c>
      <c r="T15" s="15" t="n">
        <v>0</v>
      </c>
      <c r="U15" s="16">
        <f>S15*(1-T15)</f>
        <v/>
      </c>
      <c r="V15" s="13">
        <f>K15*U15</f>
        <v/>
      </c>
      <c r="W15" s="12" t="n"/>
    </row>
    <row r="16">
      <c r="A16" s="12" t="n">
        <v>8</v>
      </c>
      <c r="B16" s="12" t="inlineStr">
        <is>
          <t>Niccolo</t>
        </is>
      </c>
      <c r="C16" s="12" t="inlineStr">
        <is>
          <t>Russino</t>
        </is>
      </c>
      <c r="D16" s="12" t="inlineStr">
        <is>
          <t>Existing</t>
        </is>
      </c>
      <c r="E16" s="12" t="inlineStr">
        <is>
          <t>Walters Mirrors Inc</t>
        </is>
      </c>
      <c r="F16" s="12" t="inlineStr">
        <is>
          <t>33-3877704</t>
        </is>
      </c>
      <c r="G16" s="12" t="inlineStr">
        <is>
          <t>1625 Cody, Ave</t>
        </is>
      </c>
      <c r="H16" s="12" t="inlineStr">
        <is>
          <t>Ridgewood, NY 11385-5733</t>
        </is>
      </c>
      <c r="I16" s="12" t="n">
        <v>3</v>
      </c>
      <c r="J16" s="12" t="inlineStr">
        <is>
          <t>Biweekly</t>
        </is>
      </c>
      <c r="K16" s="12" t="n">
        <v>26</v>
      </c>
      <c r="L16" s="13" t="n">
        <v>502.15</v>
      </c>
      <c r="M16" s="13">
        <f>K16*L16</f>
        <v/>
      </c>
      <c r="N16" s="12" t="inlineStr">
        <is>
          <t>Yes</t>
        </is>
      </c>
      <c r="O16" s="13" t="n">
        <v>2316</v>
      </c>
      <c r="P16" s="13" t="n">
        <v>200</v>
      </c>
      <c r="Q16" s="13">
        <f>M16+IF(ISNUMBER(O16),O16,0)+IF(ISNUMBER(P16),P16,0)</f>
        <v/>
      </c>
      <c r="R16" s="14" t="inlineStr">
        <is>
          <t>ADP HR Pro</t>
        </is>
      </c>
      <c r="S16" s="13" t="n">
        <v>261.95</v>
      </c>
      <c r="T16" s="15" t="n">
        <v>0</v>
      </c>
      <c r="U16" s="16">
        <f>S16*(1-T16)</f>
        <v/>
      </c>
      <c r="V16" s="13">
        <f>K16*U16</f>
        <v/>
      </c>
      <c r="W16" s="12" t="n"/>
    </row>
    <row r="17">
      <c r="A17" s="12" t="n">
        <v>9</v>
      </c>
      <c r="B17" s="12" t="inlineStr">
        <is>
          <t>Spencer</t>
        </is>
      </c>
      <c r="C17" s="12" t="inlineStr">
        <is>
          <t>Thwaytes</t>
        </is>
      </c>
      <c r="D17" s="12" t="inlineStr">
        <is>
          <t>Existing</t>
        </is>
      </c>
      <c r="E17" s="12" t="inlineStr">
        <is>
          <t>Spencer Thwaytes &amp; Co LLC</t>
        </is>
      </c>
      <c r="F17" s="12" t="inlineStr">
        <is>
          <t>93-1357097</t>
        </is>
      </c>
      <c r="G17" s="12" t="inlineStr">
        <is>
          <t>1524 Bayview Drive</t>
        </is>
      </c>
      <c r="H17" s="12" t="inlineStr">
        <is>
          <t>Fort Lauderdale, FL 33304</t>
        </is>
      </c>
      <c r="I17" s="12" t="n">
        <v>3</v>
      </c>
      <c r="J17" s="12" t="inlineStr">
        <is>
          <t>Monthly</t>
        </is>
      </c>
      <c r="K17" s="12" t="n">
        <v>12</v>
      </c>
      <c r="L17" s="13" t="n">
        <v>77</v>
      </c>
      <c r="M17" s="13">
        <f>K17*L17</f>
        <v/>
      </c>
      <c r="N17" s="12" t="inlineStr">
        <is>
          <t>Yes</t>
        </is>
      </c>
      <c r="O17" s="13" t="n">
        <v>2100</v>
      </c>
      <c r="P17" s="13" t="n">
        <v>100</v>
      </c>
      <c r="Q17" s="13">
        <f>M17+IF(ISNUMBER(O17),O17,0)+IF(ISNUMBER(P17),P17,0)</f>
        <v/>
      </c>
      <c r="R17" s="14" t="inlineStr">
        <is>
          <t>ADP Enhanced Payroll</t>
        </is>
      </c>
      <c r="S17" s="13" t="n">
        <v>133.25</v>
      </c>
      <c r="T17" s="15" t="n">
        <v>0</v>
      </c>
      <c r="U17" s="16">
        <f>S17*(1-T17)</f>
        <v/>
      </c>
      <c r="V17" s="13">
        <f>K17*U17</f>
        <v/>
      </c>
      <c r="W17" s="12" t="n"/>
    </row>
    <row r="18">
      <c r="A18" s="12" t="n">
        <v>10</v>
      </c>
      <c r="B18" s="12" t="inlineStr">
        <is>
          <t>Heather</t>
        </is>
      </c>
      <c r="C18" s="12" t="inlineStr">
        <is>
          <t>Kranz</t>
        </is>
      </c>
      <c r="D18" s="12" t="inlineStr">
        <is>
          <t>Existing</t>
        </is>
      </c>
      <c r="E18" s="12" t="inlineStr">
        <is>
          <t>Kranz Motorcars LLC</t>
        </is>
      </c>
      <c r="F18" s="12" t="inlineStr">
        <is>
          <t>39-2155930</t>
        </is>
      </c>
      <c r="G18" s="12" t="inlineStr">
        <is>
          <t>432 S Walnut St</t>
        </is>
      </c>
      <c r="H18" s="12" t="inlineStr">
        <is>
          <t>Kennett Square, PA 19348</t>
        </is>
      </c>
      <c r="I18" s="12" t="n">
        <v>1</v>
      </c>
      <c r="J18" s="12" t="inlineStr">
        <is>
          <t>Weekly</t>
        </is>
      </c>
      <c r="K18" s="12" t="n">
        <v>52</v>
      </c>
      <c r="L18" s="13" t="n">
        <v>59.5</v>
      </c>
      <c r="M18" s="13">
        <f>K18*L18</f>
        <v/>
      </c>
      <c r="N18" s="12" t="n"/>
      <c r="O18" s="13" t="n">
        <v>0</v>
      </c>
      <c r="P18" s="13" t="n">
        <v>100</v>
      </c>
      <c r="Q18" s="13">
        <f>M18+IF(ISNUMBER(O18),O18,0)+IF(ISNUMBER(P18),P18,0)</f>
        <v/>
      </c>
      <c r="R18" s="14" t="inlineStr">
        <is>
          <t>ADP Enhanced Payroll</t>
        </is>
      </c>
      <c r="S18" s="13" t="n">
        <v>64.5</v>
      </c>
      <c r="T18" s="15" t="n">
        <v>0</v>
      </c>
      <c r="U18" s="16">
        <f>S18*(1-T18)</f>
        <v/>
      </c>
      <c r="V18" s="13">
        <f>K18*U18</f>
        <v/>
      </c>
      <c r="W18" s="17" t="inlineStr">
        <is>
          <t>NO INVOICE — figure is unverified</t>
        </is>
      </c>
    </row>
    <row r="19">
      <c r="A19" s="12" t="n">
        <v>11</v>
      </c>
      <c r="B19" s="12" t="inlineStr">
        <is>
          <t xml:space="preserve">Richard </t>
        </is>
      </c>
      <c r="C19" s="12" t="inlineStr">
        <is>
          <t>Zamilpa</t>
        </is>
      </c>
      <c r="D19" s="12" t="inlineStr">
        <is>
          <t>Existing (Gusto)</t>
        </is>
      </c>
      <c r="E19" s="12" t="inlineStr">
        <is>
          <t>Complete Merchant Services Consulting</t>
        </is>
      </c>
      <c r="F19" s="12" t="inlineStr">
        <is>
          <t>99-4630525</t>
        </is>
      </c>
      <c r="G19" s="12" t="inlineStr">
        <is>
          <t>6252 Isabel Cove Ave</t>
        </is>
      </c>
      <c r="H19" s="12" t="inlineStr">
        <is>
          <t xml:space="preserve"> Las Vegas NV 89139 </t>
        </is>
      </c>
      <c r="I19" s="12" t="n">
        <v>2</v>
      </c>
      <c r="J19" s="12" t="inlineStr">
        <is>
          <t>Monthly</t>
        </is>
      </c>
      <c r="K19" s="12" t="n">
        <v>12</v>
      </c>
      <c r="L19" s="13" t="n">
        <v>100</v>
      </c>
      <c r="M19" s="13">
        <f>K19*L19</f>
        <v/>
      </c>
      <c r="N19" s="12" t="inlineStr">
        <is>
          <t>Yes</t>
        </is>
      </c>
      <c r="O19" s="12" t="n"/>
      <c r="P19" s="12" t="n"/>
      <c r="Q19" s="13">
        <f>M19+IF(ISNUMBER(O19),O19,0)+IF(ISNUMBER(P19),P19,0)</f>
        <v/>
      </c>
      <c r="R19" s="14" t="inlineStr">
        <is>
          <t>ADP Enhanced Payroll</t>
        </is>
      </c>
      <c r="S19" s="13" t="n">
        <v>129.6</v>
      </c>
      <c r="T19" s="15" t="n">
        <v>0</v>
      </c>
      <c r="U19" s="16">
        <f>S19*(1-T19)</f>
        <v/>
      </c>
      <c r="V19" s="13">
        <f>K19*U19</f>
        <v/>
      </c>
      <c r="W19" s="18" t="inlineStr">
        <is>
          <t>Gusto conversion — Grid eligibility unconfirmed</t>
        </is>
      </c>
    </row>
    <row r="20">
      <c r="A20" s="12" t="n">
        <v>12</v>
      </c>
      <c r="B20" s="12" t="inlineStr">
        <is>
          <t xml:space="preserve">Frank </t>
        </is>
      </c>
      <c r="C20" s="12" t="inlineStr">
        <is>
          <t xml:space="preserve">Giordano </t>
        </is>
      </c>
      <c r="D20" s="12" t="inlineStr">
        <is>
          <t>Existing (Gusto)</t>
        </is>
      </c>
      <c r="E20" s="12" t="inlineStr">
        <is>
          <t>FRG Advisory, LLC</t>
        </is>
      </c>
      <c r="F20" s="12" t="inlineStr">
        <is>
          <t>40-0020506</t>
        </is>
      </c>
      <c r="G20" s="12" t="inlineStr">
        <is>
          <t>431 E 20th Street</t>
        </is>
      </c>
      <c r="H20" s="12" t="inlineStr">
        <is>
          <t>New York NY 10010</t>
        </is>
      </c>
      <c r="I20" s="12" t="n">
        <v>1</v>
      </c>
      <c r="J20" s="12" t="inlineStr">
        <is>
          <t>Monthly</t>
        </is>
      </c>
      <c r="K20" s="12" t="n">
        <v>12</v>
      </c>
      <c r="L20" s="13" t="n">
        <v>50</v>
      </c>
      <c r="M20" s="13">
        <f>K20*L20</f>
        <v/>
      </c>
      <c r="N20" s="12" t="inlineStr">
        <is>
          <t>Yes</t>
        </is>
      </c>
      <c r="O20" s="12" t="n"/>
      <c r="P20" s="12" t="n"/>
      <c r="Q20" s="13">
        <f>M20+IF(ISNUMBER(O20),O20,0)+IF(ISNUMBER(P20),P20,0)</f>
        <v/>
      </c>
      <c r="R20" s="14" t="inlineStr">
        <is>
          <t>ADP Enhanced Payroll</t>
        </is>
      </c>
      <c r="S20" s="13" t="n">
        <v>125.95</v>
      </c>
      <c r="T20" s="15" t="n">
        <v>0</v>
      </c>
      <c r="U20" s="16">
        <f>S20*(1-T20)</f>
        <v/>
      </c>
      <c r="V20" s="13">
        <f>K20*U20</f>
        <v/>
      </c>
      <c r="W20" s="18" t="inlineStr">
        <is>
          <t>Gusto conversion — Grid eligibility unconfirmed</t>
        </is>
      </c>
    </row>
    <row r="21">
      <c r="A21" s="12" t="n">
        <v>13</v>
      </c>
      <c r="B21" s="12" t="inlineStr">
        <is>
          <t>Benjamin</t>
        </is>
      </c>
      <c r="C21" s="12" t="inlineStr">
        <is>
          <t xml:space="preserve">Solomon </t>
        </is>
      </c>
      <c r="D21" s="12" t="inlineStr">
        <is>
          <t>Existing (IRS direct)</t>
        </is>
      </c>
      <c r="E21" s="12" t="inlineStr">
        <is>
          <t>Broadway 2000, Inc</t>
        </is>
      </c>
      <c r="F21" s="12" t="inlineStr">
        <is>
          <t>85-3662838</t>
        </is>
      </c>
      <c r="G21" s="12" t="inlineStr">
        <is>
          <t>662 Driggs Avenue</t>
        </is>
      </c>
      <c r="H21" s="12" t="inlineStr">
        <is>
          <t>Brooklyn, NY 11211</t>
        </is>
      </c>
      <c r="I21" s="12" t="n">
        <v>1</v>
      </c>
      <c r="J21" s="12" t="inlineStr">
        <is>
          <t>Yearly</t>
        </is>
      </c>
      <c r="K21" s="12" t="n">
        <v>1</v>
      </c>
      <c r="L21" s="13" t="n">
        <v>400</v>
      </c>
      <c r="M21" s="13">
        <f>K21*L21</f>
        <v/>
      </c>
      <c r="N21" s="12" t="inlineStr">
        <is>
          <t>Yes</t>
        </is>
      </c>
      <c r="O21" s="12" t="n"/>
      <c r="P21" s="12" t="n"/>
      <c r="Q21" s="13">
        <f>M21+IF(ISNUMBER(O21),O21,0)+IF(ISNUMBER(P21),P21,0)</f>
        <v/>
      </c>
      <c r="R21" s="14" t="inlineStr">
        <is>
          <t>ADP Essential Payroll</t>
        </is>
      </c>
      <c r="S21" s="13" t="n">
        <v>500</v>
      </c>
      <c r="T21" s="15" t="n">
        <v>0</v>
      </c>
      <c r="U21" s="16">
        <f>S21*(1-T21)</f>
        <v/>
      </c>
      <c r="V21" s="13">
        <f>K21*U21</f>
        <v/>
      </c>
      <c r="W21" s="12" t="n"/>
    </row>
    <row r="22">
      <c r="A22" s="19" t="n"/>
      <c r="B22" s="19" t="n"/>
      <c r="C22" s="19" t="n"/>
      <c r="D22" s="19" t="n"/>
      <c r="E22" s="20" t="inlineStr">
        <is>
          <t>TOTAL</t>
        </is>
      </c>
      <c r="F22" s="19" t="n"/>
      <c r="G22" s="19" t="n"/>
      <c r="H22" s="19" t="n"/>
      <c r="I22" s="19" t="n"/>
      <c r="J22" s="19" t="n"/>
      <c r="K22" s="19" t="n"/>
      <c r="L22" s="19" t="n"/>
      <c r="M22" s="21">
        <f>SUM(M9:M21)</f>
        <v/>
      </c>
      <c r="N22" s="19" t="n"/>
      <c r="O22" s="21">
        <f>SUM(O9:O21)</f>
        <v/>
      </c>
      <c r="P22" s="21">
        <f>SUM(P9:P21)</f>
        <v/>
      </c>
      <c r="Q22" s="21">
        <f>SUM(Q9:Q21)</f>
        <v/>
      </c>
      <c r="R22" s="19" t="n"/>
      <c r="S22" s="19" t="n"/>
      <c r="T22" s="19" t="n"/>
      <c r="U22" s="19" t="n"/>
      <c r="V22" s="21">
        <f>SUM(V9:V21)</f>
        <v/>
      </c>
      <c r="W22" s="19" t="n"/>
    </row>
  </sheetData>
  <mergeCells count="3">
    <mergeCell ref="A2:W2"/>
    <mergeCell ref="A1:W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14" customWidth="1" min="3" max="3"/>
    <col width="17" customWidth="1" min="4" max="4"/>
    <col width="34" customWidth="1" min="5" max="5"/>
    <col width="13" customWidth="1" min="6" max="6"/>
    <col width="25" customWidth="1" min="7" max="7"/>
    <col width="23" customWidth="1" min="8" max="8"/>
    <col width="5" customWidth="1" min="9" max="9"/>
    <col width="13" customWidth="1" min="10" max="10"/>
    <col width="8" customWidth="1" min="11" max="11"/>
    <col width="12" customWidth="1" min="12" max="12"/>
    <col width="13" customWidth="1" min="13" max="13"/>
    <col width="10" customWidth="1" min="14" max="14"/>
    <col width="15" customWidth="1" min="15" max="15"/>
    <col width="11" customWidth="1" min="16" max="16"/>
    <col width="14" customWidth="1" min="17" max="17"/>
    <col width="32" customWidth="1" min="18" max="18"/>
    <col width="12" customWidth="1" min="19" max="19"/>
    <col width="11" customWidth="1" min="20" max="20"/>
    <col width="13" customWidth="1" min="21" max="21"/>
    <col width="13" customWidth="1" min="22" max="22"/>
    <col width="38" customWidth="1" min="23" max="23"/>
  </cols>
  <sheetData>
    <row r="1" ht="26" customHeight="1">
      <c r="A1" s="1" t="inlineStr">
        <is>
          <t>NEW CLIENTS — PLATINUM 1x</t>
        </is>
      </c>
    </row>
    <row r="2">
      <c r="A2" s="22" t="inlineStr">
        <is>
          <t>No current payroll revenue. Platinum pays 1x, not the Grid 2x.</t>
        </is>
      </c>
    </row>
    <row r="4" ht="44" customHeight="1">
      <c r="A4" s="9" t="inlineStr">
        <is>
          <t>#</t>
        </is>
      </c>
      <c r="B4" s="9" t="inlineStr">
        <is>
          <t>Owner First</t>
        </is>
      </c>
      <c r="C4" s="9" t="inlineStr">
        <is>
          <t>Owner Last</t>
        </is>
      </c>
      <c r="D4" s="9" t="inlineStr">
        <is>
          <t>Status</t>
        </is>
      </c>
      <c r="E4" s="9" t="inlineStr">
        <is>
          <t>Client Legal Name</t>
        </is>
      </c>
      <c r="F4" s="9" t="inlineStr">
        <is>
          <t>EIN</t>
        </is>
      </c>
      <c r="G4" s="9" t="inlineStr">
        <is>
          <t>Address</t>
        </is>
      </c>
      <c r="H4" s="9" t="inlineStr">
        <is>
          <t>City, State Zip</t>
        </is>
      </c>
      <c r="I4" s="9" t="inlineStr">
        <is>
          <t>EE</t>
        </is>
      </c>
      <c r="J4" s="9" t="inlineStr">
        <is>
          <t>Frequency</t>
        </is>
      </c>
      <c r="K4" s="9" t="inlineStr">
        <is>
          <t>Runs/yr</t>
        </is>
      </c>
      <c r="L4" s="9" t="inlineStr">
        <is>
          <t>Current fee per run</t>
        </is>
      </c>
      <c r="M4" s="9" t="inlineStr">
        <is>
          <t>Current run rate</t>
        </is>
      </c>
      <c r="N4" s="9" t="inlineStr">
        <is>
          <t>401(k) plan</t>
        </is>
      </c>
      <c r="O4" s="9" t="inlineStr">
        <is>
          <t>401(k) recurring annual</t>
        </is>
      </c>
      <c r="P4" s="9" t="inlineStr">
        <is>
          <t>Other CY fees</t>
        </is>
      </c>
      <c r="Q4" s="9" t="inlineStr">
        <is>
          <t>Total current annual</t>
        </is>
      </c>
      <c r="R4" s="10" t="inlineStr">
        <is>
          <t>ADP PACKAGE (locked)</t>
        </is>
      </c>
      <c r="S4" s="11" t="inlineStr">
        <is>
          <t>ADP list per run</t>
        </is>
      </c>
      <c r="T4" s="11" t="inlineStr">
        <is>
          <t>Adjustment %</t>
        </is>
      </c>
      <c r="U4" s="11" t="inlineStr">
        <is>
          <t>ADP price per run</t>
        </is>
      </c>
      <c r="V4" s="11" t="inlineStr">
        <is>
          <t>ADP annual</t>
        </is>
      </c>
      <c r="W4" s="9" t="inlineStr">
        <is>
          <t>Flag</t>
        </is>
      </c>
    </row>
    <row r="5">
      <c r="A5" s="12" t="n">
        <v>1</v>
      </c>
      <c r="B5" s="12" t="inlineStr">
        <is>
          <t>Oliver</t>
        </is>
      </c>
      <c r="C5" s="12" t="inlineStr">
        <is>
          <t>Beirne</t>
        </is>
      </c>
      <c r="D5" s="12" t="inlineStr">
        <is>
          <t>Existing</t>
        </is>
      </c>
      <c r="E5" s="12" t="inlineStr">
        <is>
          <t>B333 Trading Group LLC</t>
        </is>
      </c>
      <c r="F5" s="12" t="inlineStr">
        <is>
          <t>42-2175878</t>
        </is>
      </c>
      <c r="G5" s="12" t="inlineStr">
        <is>
          <t>980 N Federal Hwy Suite 314</t>
        </is>
      </c>
      <c r="H5" s="12" t="inlineStr">
        <is>
          <t>Boca Raton FL 33432</t>
        </is>
      </c>
      <c r="I5" s="12" t="n">
        <v>2</v>
      </c>
      <c r="J5" s="12" t="inlineStr">
        <is>
          <t>Monthly</t>
        </is>
      </c>
      <c r="K5" s="12" t="n">
        <v>12</v>
      </c>
      <c r="L5" s="13" t="n">
        <v>0</v>
      </c>
      <c r="M5" s="13">
        <f>K5*L5</f>
        <v/>
      </c>
      <c r="N5" s="12" t="inlineStr">
        <is>
          <t>Yes</t>
        </is>
      </c>
      <c r="O5" s="12" t="n"/>
      <c r="P5" s="12" t="n"/>
      <c r="Q5" s="13">
        <f>M5+IF(ISNUMBER(O5),O5,0)+IF(ISNUMBER(P5),P5,0)</f>
        <v/>
      </c>
      <c r="R5" s="14" t="inlineStr">
        <is>
          <t>ADP Enhanced Payroll</t>
        </is>
      </c>
      <c r="S5" s="13" t="n">
        <v>129.6</v>
      </c>
      <c r="T5" s="15" t="n">
        <v>0</v>
      </c>
      <c r="U5" s="16">
        <f>S5*(1-T5)</f>
        <v/>
      </c>
      <c r="V5" s="13">
        <f>K5*U5</f>
        <v/>
      </c>
      <c r="W5" s="18" t="inlineStr">
        <is>
          <t>On Paychex but never ran a payroll</t>
        </is>
      </c>
    </row>
    <row r="6">
      <c r="A6" s="12" t="n">
        <v>2</v>
      </c>
      <c r="B6" s="12" t="inlineStr">
        <is>
          <t xml:space="preserve">Anthony </t>
        </is>
      </c>
      <c r="C6" s="12" t="inlineStr">
        <is>
          <t xml:space="preserve">Gerb </t>
        </is>
      </c>
      <c r="D6" s="12" t="inlineStr">
        <is>
          <t>New</t>
        </is>
      </c>
      <c r="E6" s="12" t="inlineStr">
        <is>
          <t>AJG Trading LLC</t>
        </is>
      </c>
      <c r="F6" s="12" t="inlineStr">
        <is>
          <t>41-5035542</t>
        </is>
      </c>
      <c r="G6" s="12" t="inlineStr">
        <is>
          <t>1881 N Nash Street Apt No 705</t>
        </is>
      </c>
      <c r="H6" s="12" t="inlineStr">
        <is>
          <t>Arlington, VA 22209</t>
        </is>
      </c>
      <c r="I6" s="12" t="n">
        <v>1</v>
      </c>
      <c r="J6" s="12" t="inlineStr">
        <is>
          <t>Monthly</t>
        </is>
      </c>
      <c r="K6" s="12" t="n">
        <v>12</v>
      </c>
      <c r="L6" s="13" t="n">
        <v>0</v>
      </c>
      <c r="M6" s="13">
        <f>K6*L6</f>
        <v/>
      </c>
      <c r="N6" s="12" t="inlineStr">
        <is>
          <t>Yes</t>
        </is>
      </c>
      <c r="O6" s="12" t="n"/>
      <c r="P6" s="12" t="n"/>
      <c r="Q6" s="13">
        <f>M6+IF(ISNUMBER(O6),O6,0)+IF(ISNUMBER(P6),P6,0)</f>
        <v/>
      </c>
      <c r="R6" s="14" t="inlineStr">
        <is>
          <t>ADP Enhanced Payroll</t>
        </is>
      </c>
      <c r="S6" s="13" t="n">
        <v>125.95</v>
      </c>
      <c r="T6" s="15" t="n">
        <v>0</v>
      </c>
      <c r="U6" s="16">
        <f>S6*(1-T6)</f>
        <v/>
      </c>
      <c r="V6" s="13">
        <f>K6*U6</f>
        <v/>
      </c>
      <c r="W6" s="12" t="n"/>
    </row>
    <row r="7">
      <c r="A7" s="12" t="n">
        <v>3</v>
      </c>
      <c r="B7" s="12" t="inlineStr">
        <is>
          <t xml:space="preserve">Alexander </t>
        </is>
      </c>
      <c r="C7" s="12" t="inlineStr">
        <is>
          <t>Harris</t>
        </is>
      </c>
      <c r="D7" s="12" t="inlineStr">
        <is>
          <t>New</t>
        </is>
      </c>
      <c r="E7" s="12" t="inlineStr">
        <is>
          <t>Kapstone Digital LLC</t>
        </is>
      </c>
      <c r="F7" s="12" t="inlineStr">
        <is>
          <t>85-3782692</t>
        </is>
      </c>
      <c r="G7" s="12" t="inlineStr">
        <is>
          <t>936 SW 1st Ave Apt. No. 406</t>
        </is>
      </c>
      <c r="H7" s="12" t="inlineStr">
        <is>
          <t>Miami, FL 33130</t>
        </is>
      </c>
      <c r="I7" s="12" t="n">
        <v>1</v>
      </c>
      <c r="J7" s="12" t="inlineStr">
        <is>
          <t>Monthly</t>
        </is>
      </c>
      <c r="K7" s="12" t="n">
        <v>12</v>
      </c>
      <c r="L7" s="13" t="n">
        <v>0</v>
      </c>
      <c r="M7" s="13">
        <f>K7*L7</f>
        <v/>
      </c>
      <c r="N7" s="12" t="inlineStr">
        <is>
          <t>Yes</t>
        </is>
      </c>
      <c r="O7" s="12" t="n"/>
      <c r="P7" s="12" t="n"/>
      <c r="Q7" s="13">
        <f>M7+IF(ISNUMBER(O7),O7,0)+IF(ISNUMBER(P7),P7,0)</f>
        <v/>
      </c>
      <c r="R7" s="14" t="inlineStr">
        <is>
          <t>ADP Enhanced Payroll</t>
        </is>
      </c>
      <c r="S7" s="13" t="n">
        <v>125.95</v>
      </c>
      <c r="T7" s="15" t="n">
        <v>0</v>
      </c>
      <c r="U7" s="16">
        <f>S7*(1-T7)</f>
        <v/>
      </c>
      <c r="V7" s="13">
        <f>K7*U7</f>
        <v/>
      </c>
      <c r="W7" s="12" t="n"/>
    </row>
    <row r="8">
      <c r="A8" s="12" t="n">
        <v>4</v>
      </c>
      <c r="B8" s="12" t="inlineStr">
        <is>
          <t>John</t>
        </is>
      </c>
      <c r="C8" s="12" t="inlineStr">
        <is>
          <t>Ewing</t>
        </is>
      </c>
      <c r="D8" s="12" t="inlineStr">
        <is>
          <t>New</t>
        </is>
      </c>
      <c r="E8" s="12" t="inlineStr">
        <is>
          <t>Atlas Opera, Inc.</t>
        </is>
      </c>
      <c r="F8" s="12" t="inlineStr">
        <is>
          <t>82-2302400</t>
        </is>
      </c>
      <c r="G8" s="12" t="inlineStr">
        <is>
          <t>83 Canal Street</t>
        </is>
      </c>
      <c r="H8" s="12" t="inlineStr">
        <is>
          <t>New York, NY 10002</t>
        </is>
      </c>
      <c r="I8" s="12" t="n">
        <v>1</v>
      </c>
      <c r="J8" s="12" t="inlineStr">
        <is>
          <t>Monthly</t>
        </is>
      </c>
      <c r="K8" s="12" t="n">
        <v>12</v>
      </c>
      <c r="L8" s="13" t="n">
        <v>0</v>
      </c>
      <c r="M8" s="13">
        <f>K8*L8</f>
        <v/>
      </c>
      <c r="N8" s="12" t="n"/>
      <c r="O8" s="12" t="n"/>
      <c r="P8" s="12" t="n"/>
      <c r="Q8" s="13">
        <f>M8+IF(ISNUMBER(O8),O8,0)+IF(ISNUMBER(P8),P8,0)</f>
        <v/>
      </c>
      <c r="R8" s="14" t="inlineStr">
        <is>
          <t>ADP Enhanced Payroll</t>
        </is>
      </c>
      <c r="S8" s="13" t="n">
        <v>125.95</v>
      </c>
      <c r="T8" s="15" t="n">
        <v>0</v>
      </c>
      <c r="U8" s="16">
        <f>S8*(1-T8)</f>
        <v/>
      </c>
      <c r="V8" s="13">
        <f>K8*U8</f>
        <v/>
      </c>
      <c r="W8" s="12" t="n"/>
    </row>
    <row r="9">
      <c r="A9" s="12" t="n">
        <v>5</v>
      </c>
      <c r="B9" s="12" t="inlineStr">
        <is>
          <t xml:space="preserve">Christina </t>
        </is>
      </c>
      <c r="C9" s="12" t="inlineStr">
        <is>
          <t xml:space="preserve">Pellicane </t>
        </is>
      </c>
      <c r="D9" s="12" t="inlineStr">
        <is>
          <t>New</t>
        </is>
      </c>
      <c r="E9" s="12" t="inlineStr">
        <is>
          <t>North Star Works, LLC</t>
        </is>
      </c>
      <c r="F9" s="12" t="inlineStr">
        <is>
          <t>42-4495054</t>
        </is>
      </c>
      <c r="G9" s="12" t="inlineStr">
        <is>
          <t>121 S Colts Neck Way</t>
        </is>
      </c>
      <c r="H9" s="12" t="inlineStr">
        <is>
          <t>Hockessin, DE 19707</t>
        </is>
      </c>
      <c r="I9" s="12" t="n">
        <v>1</v>
      </c>
      <c r="J9" s="12" t="inlineStr">
        <is>
          <t>Monthly</t>
        </is>
      </c>
      <c r="K9" s="12" t="n">
        <v>12</v>
      </c>
      <c r="L9" s="13" t="n">
        <v>0</v>
      </c>
      <c r="M9" s="13">
        <f>K9*L9</f>
        <v/>
      </c>
      <c r="N9" s="12" t="inlineStr">
        <is>
          <t>Yes</t>
        </is>
      </c>
      <c r="O9" s="12" t="n"/>
      <c r="P9" s="12" t="n"/>
      <c r="Q9" s="13">
        <f>M9+IF(ISNUMBER(O9),O9,0)+IF(ISNUMBER(P9),P9,0)</f>
        <v/>
      </c>
      <c r="R9" s="14" t="inlineStr">
        <is>
          <t>ADP Enhanced Payroll</t>
        </is>
      </c>
      <c r="S9" s="13" t="n">
        <v>125.95</v>
      </c>
      <c r="T9" s="15" t="n">
        <v>0</v>
      </c>
      <c r="U9" s="16">
        <f>S9*(1-T9)</f>
        <v/>
      </c>
      <c r="V9" s="13">
        <f>K9*U9</f>
        <v/>
      </c>
      <c r="W9" s="12" t="n"/>
    </row>
    <row r="10">
      <c r="A10" s="19" t="n"/>
      <c r="B10" s="19" t="n"/>
      <c r="C10" s="19" t="n"/>
      <c r="D10" s="19" t="n"/>
      <c r="E10" s="20" t="inlineStr">
        <is>
          <t>TOTAL</t>
        </is>
      </c>
      <c r="F10" s="19" t="n"/>
      <c r="G10" s="19" t="n"/>
      <c r="H10" s="19" t="n"/>
      <c r="I10" s="19" t="n"/>
      <c r="J10" s="19" t="n"/>
      <c r="K10" s="19" t="n"/>
      <c r="L10" s="19" t="n"/>
      <c r="M10" s="21">
        <f>SUM(M5:M9)</f>
        <v/>
      </c>
      <c r="N10" s="19" t="n"/>
      <c r="O10" s="21">
        <f>SUM(O5:O9)</f>
        <v/>
      </c>
      <c r="P10" s="21">
        <f>SUM(P5:P9)</f>
        <v/>
      </c>
      <c r="Q10" s="21">
        <f>SUM(Q5:Q9)</f>
        <v/>
      </c>
      <c r="R10" s="19" t="n"/>
      <c r="S10" s="19" t="n"/>
      <c r="T10" s="19" t="n"/>
      <c r="U10" s="19" t="n"/>
      <c r="V10" s="21">
        <f>SUM(V5:V9)</f>
        <v/>
      </c>
      <c r="W10" s="19" t="n"/>
    </row>
  </sheetData>
  <mergeCells count="2">
    <mergeCell ref="A2:W2"/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24" customWidth="1" min="4" max="4"/>
    <col width="24" customWidth="1" min="5" max="5"/>
    <col width="14" customWidth="1" min="6" max="6"/>
    <col width="14" customWidth="1" min="7" max="7"/>
  </cols>
  <sheetData>
    <row r="1" ht="26" customHeight="1">
      <c r="A1" s="1" t="inlineStr">
        <is>
          <t>ADP RUN PACKAGES — ZONE 7 LIST, FY25</t>
        </is>
      </c>
    </row>
    <row r="2">
      <c r="A2" s="22" t="inlineStr">
        <is>
          <t>List price per payroll run. The package is locked at submission. The price is adjustable.</t>
        </is>
      </c>
    </row>
    <row r="4">
      <c r="A4" s="35" t="inlineStr">
        <is>
          <t>Package</t>
        </is>
      </c>
      <c r="B4" s="35" t="inlineStr">
        <is>
          <t>Weekly</t>
        </is>
      </c>
      <c r="C4" s="35" t="inlineStr">
        <is>
          <t>Bi-weekly</t>
        </is>
      </c>
      <c r="D4" s="35" t="inlineStr">
        <is>
          <t>Semi-monthly</t>
        </is>
      </c>
      <c r="E4" s="35" t="inlineStr">
        <is>
          <t>Monthly</t>
        </is>
      </c>
      <c r="F4" s="35" t="inlineStr">
        <is>
          <t>Quarterly</t>
        </is>
      </c>
      <c r="G4" s="35" t="inlineStr">
        <is>
          <t>Annual</t>
        </is>
      </c>
    </row>
    <row r="5" ht="52" customHeight="1">
      <c r="A5" s="36" t="inlineStr">
        <is>
          <t>ADP Essential Payroll</t>
        </is>
      </c>
      <c r="B5" s="37" t="inlineStr">
        <is>
          <t>$40.95 ees 1-2
$46.95 ees 3-4
+$2.75 over 4</t>
        </is>
      </c>
      <c r="C5" s="37" t="inlineStr">
        <is>
          <t>$65.95 ees 1-2
$71.95 ees 3-4
+$2.70 over 4</t>
        </is>
      </c>
      <c r="D5" s="37" t="inlineStr">
        <is>
          <t>$69.95 ees 1-2
$75.95 ees 3-4
+$2.95 over 4</t>
        </is>
      </c>
      <c r="E5" s="37" t="inlineStr">
        <is>
          <t>$79 base
+$4 per employee</t>
        </is>
      </c>
      <c r="F5" s="37" t="inlineStr">
        <is>
          <t>$127.95
no ee charge</t>
        </is>
      </c>
      <c r="G5" s="37" t="inlineStr">
        <is>
          <t>$500.00
no ee charge</t>
        </is>
      </c>
    </row>
    <row r="6" ht="52" customHeight="1">
      <c r="A6" s="36" t="inlineStr">
        <is>
          <t>ADP Enhanced Payroll</t>
        </is>
      </c>
      <c r="B6" s="37" t="inlineStr">
        <is>
          <t>$64.50 base
+$3.15 each over 1</t>
        </is>
      </c>
      <c r="C6" s="37" t="inlineStr">
        <is>
          <t>$92.95 base
+$3.60 each over 1</t>
        </is>
      </c>
      <c r="D6" s="37" t="inlineStr">
        <is>
          <t>$98.95 base
+$3.80 each over 1</t>
        </is>
      </c>
      <c r="E6" s="37" t="inlineStr">
        <is>
          <t>$125.95 base
+$3.65 each over 1</t>
        </is>
      </c>
      <c r="F6" s="37" t="inlineStr">
        <is>
          <t>$199.95</t>
        </is>
      </c>
      <c r="G6" s="37" t="inlineStr">
        <is>
          <t>—</t>
        </is>
      </c>
    </row>
    <row r="7" ht="52" customHeight="1">
      <c r="A7" s="36" t="inlineStr">
        <is>
          <t>ADP Complete Payroll and HR Plus</t>
        </is>
      </c>
      <c r="B7" s="37" t="inlineStr">
        <is>
          <t>$92.95 ees 1-2
$98.95 ees 3-4
+$3.40 over 4</t>
        </is>
      </c>
      <c r="C7" s="37" t="inlineStr">
        <is>
          <t>$169.95 ees 1-2
$175.95 ees 3-4
+$4.75 over 4</t>
        </is>
      </c>
      <c r="D7" s="37" t="inlineStr">
        <is>
          <t>$181.95 ees 1-2
$188.95 ees 3-4
+$4.80 over 4</t>
        </is>
      </c>
      <c r="E7" s="37" t="inlineStr">
        <is>
          <t>$258.95 ees 1-2
$264.95 ees 3-4
+$4.30 over 4</t>
        </is>
      </c>
      <c r="F7" s="37" t="inlineStr">
        <is>
          <t>—</t>
        </is>
      </c>
      <c r="G7" s="37" t="inlineStr">
        <is>
          <t>—</t>
        </is>
      </c>
    </row>
    <row r="8" ht="52" customHeight="1">
      <c r="A8" s="36" t="inlineStr">
        <is>
          <t>ADP HR Pro</t>
        </is>
      </c>
      <c r="B8" s="37" t="inlineStr">
        <is>
          <t>$132.95 ees 1-2
$139.95 ees 3-4
+$4.25 over 4</t>
        </is>
      </c>
      <c r="C8" s="37" t="inlineStr">
        <is>
          <t>$254.95 ees 1-2
$261.95 ees 3-4
+$5.00 over 4</t>
        </is>
      </c>
      <c r="D8" s="37" t="inlineStr">
        <is>
          <t>$269.95 ees 1-2
$276.95 ees 3-4
+$5.05 over 4</t>
        </is>
      </c>
      <c r="E8" s="37" t="inlineStr">
        <is>
          <t>$399.95 ees 1-2
$406.95 ees 3-4
+$4.90 over 4</t>
        </is>
      </c>
      <c r="F8" s="37" t="inlineStr">
        <is>
          <t>—</t>
        </is>
      </c>
      <c r="G8" s="37" t="inlineStr">
        <is>
          <t>—</t>
        </is>
      </c>
    </row>
    <row r="10">
      <c r="A10" s="34" t="inlineStr">
        <is>
          <t>HOW PACKAGES WERE ASSIGNED</t>
        </is>
      </c>
    </row>
    <row r="11">
      <c r="A11" t="inlineStr">
        <is>
          <t xml:space="preserve">   Walters Mirrors — HR Pro. Bi-weekly, 3 employees, 261.95. Paychex charges 502.15.</t>
        </is>
      </c>
    </row>
    <row r="12">
      <c r="A12" t="inlineStr">
        <is>
          <t xml:space="preserve">   Broadway 2000 — Essential. One payroll a year, currently run through IRS Treasury online.</t>
        </is>
      </c>
    </row>
    <row r="13">
      <c r="A13" t="inlineStr">
        <is>
          <t xml:space="preserve">   Wisdom by Woods and Auction Time Pieces — Complete. Both already pay more than Enhanced list.</t>
        </is>
      </c>
    </row>
    <row r="14">
      <c r="A14" t="inlineStr">
        <is>
          <t xml:space="preserve">   Everyone else — Enhanced.</t>
        </is>
      </c>
    </row>
    <row r="15">
      <c r="A15" t="inlineStr"/>
    </row>
    <row r="16">
      <c r="A16" s="34" t="inlineStr">
        <is>
          <t>ADDITIONAL FEES FROM THE PRICE BOOK, not in the client pricing</t>
        </is>
      </c>
    </row>
    <row r="17">
      <c r="A17" t="inlineStr">
        <is>
          <t xml:space="preserve">   Setup: 200 per payroll bundle, 100 per additional control.</t>
        </is>
      </c>
    </row>
    <row r="18">
      <c r="A18" t="inlineStr">
        <is>
          <t xml:space="preserve">   Year-end: W-2 and 1099 at 54.95 plus 7.50 per form on the primary control, 32.50 plus 7.50 on additional, 14.95 delivery.</t>
        </is>
      </c>
    </row>
    <row r="19">
      <c r="A19" t="inlineStr">
        <is>
          <t xml:space="preserve">   More than one state return: 8.95 per month per state. More than one local return: no charge.</t>
        </is>
      </c>
    </row>
    <row r="20">
      <c r="A20" t="inlineStr">
        <is>
          <t xml:space="preserve">   Applied for employer ID, state or SUI: 75 per month per jurisdiction.</t>
        </is>
      </c>
    </row>
    <row r="21">
      <c r="A21" t="inlineStr">
        <is>
          <t xml:space="preserve">   Amendments 200 each, UI hearing 150, UI appeal 50, wire 35.</t>
        </is>
      </c>
    </row>
    <row r="22">
      <c r="A22" t="inlineStr"/>
    </row>
    <row r="23">
      <c r="A23" s="34" t="inlineStr">
        <is>
          <t>DISCOUNTING — read this before quoting</t>
        </is>
      </c>
    </row>
    <row r="24">
      <c r="A24" t="inlineStr">
        <is>
          <t xml:space="preserve">   The price book states: clients must be DDF to receive a promo or discount, and discounts do not apply to</t>
        </is>
      </c>
    </row>
    <row r="25">
      <c r="A25" t="inlineStr">
        <is>
          <t xml:space="preserve">   the POP annual fee, any setup or implementation fee, year-end W-2 and 1099 charges, or additional delivery locations.</t>
        </is>
      </c>
    </row>
    <row r="26">
      <c r="A26" t="inlineStr">
        <is>
          <t xml:space="preserve">   The 59.9% figure is channel guidance, not from this price book. The book’s only stated ceiling is on its</t>
        </is>
      </c>
    </row>
    <row r="27">
      <c r="A27" t="inlineStr">
        <is>
          <t xml:space="preserve">   Payroll for Partners page: 1-10 controls 0%, 11-20 10%, 21-30 15%, 31-40 20%, 41 and over 25%.</t>
        </is>
      </c>
    </row>
    <row r="28">
      <c r="A28" t="inlineStr">
        <is>
          <t xml:space="preserve">   Confirm which applies to this deal before any discounted number goes to Stephen.</t>
        </is>
      </c>
    </row>
    <row r="29">
      <c r="A29" t="inlineStr"/>
    </row>
    <row r="30">
      <c r="A30" t="inlineStr">
        <is>
          <t>Source: FY25 SBS RUN Price Book, Zone 7, 2nd Release, effective 7/11/2024. ADP internal. Do not send this tab outside ADP.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46" customWidth="1" min="1" max="1"/>
    <col width="3" customWidth="1" min="2" max="2"/>
    <col width="18" customWidth="1" min="3" max="3"/>
    <col width="66" customWidth="1" min="4" max="4"/>
  </cols>
  <sheetData>
    <row r="1" ht="26" customHeight="1">
      <c r="A1" s="1" t="inlineStr">
        <is>
          <t>PAYOUT SUMMARY</t>
        </is>
      </c>
    </row>
    <row r="3">
      <c r="A3" s="23" t="inlineStr">
        <is>
          <t>GRID — Paychex conversions</t>
        </is>
      </c>
      <c r="B3" s="24" t="n"/>
      <c r="C3" s="24" t="n"/>
      <c r="D3" s="24" t="n"/>
    </row>
    <row r="4">
      <c r="A4" s="25" t="inlineStr">
        <is>
          <t xml:space="preserve">  ADP annualized revenue</t>
        </is>
      </c>
      <c r="C4" s="26">
        <f>'Grid Clients'!V22</f>
        <v/>
      </c>
      <c r="D4" s="27" t="inlineStr">
        <is>
          <t>13 clients, from the Grid tab</t>
        </is>
      </c>
    </row>
    <row r="5">
      <c r="A5" s="25" t="inlineStr">
        <is>
          <t xml:space="preserve">  Multiple</t>
        </is>
      </c>
      <c r="C5" s="28" t="n">
        <v>2</v>
      </c>
      <c r="D5" s="27" t="inlineStr">
        <is>
          <t>2x on Paychex conversions</t>
        </is>
      </c>
    </row>
    <row r="6">
      <c r="A6" s="29" t="inlineStr">
        <is>
          <t xml:space="preserve">  Grid payout</t>
        </is>
      </c>
      <c r="C6" s="30">
        <f>C4*C5</f>
        <v/>
      </c>
    </row>
    <row r="8">
      <c r="A8" s="23" t="inlineStr">
        <is>
          <t>PLATINUM — new clients</t>
        </is>
      </c>
      <c r="B8" s="24" t="n"/>
      <c r="C8" s="24" t="n"/>
      <c r="D8" s="24" t="n"/>
    </row>
    <row r="9">
      <c r="A9" s="25" t="inlineStr">
        <is>
          <t xml:space="preserve">  ADP annualized revenue</t>
        </is>
      </c>
      <c r="C9" s="26">
        <f>'New Clients - Platinum'!V10</f>
        <v/>
      </c>
      <c r="D9" s="27" t="inlineStr">
        <is>
          <t>5 clients, from the Platinum tab</t>
        </is>
      </c>
    </row>
    <row r="10">
      <c r="A10" s="25" t="inlineStr">
        <is>
          <t xml:space="preserve">  Multiple</t>
        </is>
      </c>
      <c r="C10" s="28" t="n">
        <v>1</v>
      </c>
      <c r="D10" s="27" t="inlineStr">
        <is>
          <t>1x on new business</t>
        </is>
      </c>
    </row>
    <row r="11">
      <c r="A11" s="29" t="inlineStr">
        <is>
          <t xml:space="preserve">  Platinum payout</t>
        </is>
      </c>
      <c r="C11" s="30">
        <f>C9*C10</f>
        <v/>
      </c>
    </row>
    <row r="13">
      <c r="A13" s="23" t="inlineStr">
        <is>
          <t>401(k) COMP</t>
        </is>
      </c>
      <c r="B13" s="24" t="n"/>
      <c r="C13" s="24" t="n"/>
      <c r="D13" s="24" t="n"/>
    </row>
    <row r="14">
      <c r="A14" s="25" t="inlineStr">
        <is>
          <t xml:space="preserve">  Conversions, 750 each</t>
        </is>
      </c>
      <c r="C14" s="26">
        <f>3*750</f>
        <v/>
      </c>
      <c r="D14" s="27" t="inlineStr">
        <is>
          <t>Onchain, Walters Mirrors, Spencer Thwaytes</t>
        </is>
      </c>
    </row>
    <row r="15">
      <c r="A15" s="25" t="inlineStr">
        <is>
          <t xml:space="preserve">  New plans, 350 each</t>
        </is>
      </c>
      <c r="C15" s="26">
        <f>7*350</f>
        <v/>
      </c>
      <c r="D15" s="27" t="inlineStr">
        <is>
          <t>B333, AJG, Complete Merchant, FRG, Kapstone, Broadway 2000, North Star</t>
        </is>
      </c>
    </row>
    <row r="16">
      <c r="A16" s="29" t="inlineStr">
        <is>
          <t xml:space="preserve">  401(k) comp</t>
        </is>
      </c>
      <c r="C16" s="30">
        <f>C14+C15</f>
        <v/>
      </c>
    </row>
    <row r="18">
      <c r="A18" s="31" t="inlineStr">
        <is>
          <t>TOTAL</t>
        </is>
      </c>
      <c r="B18" s="32" t="n"/>
      <c r="C18" s="33">
        <f>C6+C11+C16</f>
        <v/>
      </c>
      <c r="D18" s="32" t="n"/>
    </row>
    <row r="20">
      <c r="A20" s="34" t="inlineStr">
        <is>
          <t>WHAT IS NOT IN THIS NUMBER</t>
        </is>
      </c>
    </row>
    <row r="21">
      <c r="A21" t="inlineStr">
        <is>
          <t xml:space="preserve">   Setup fees. 200 per payroll bundle, 100 per additional control. Non-discountable.</t>
        </is>
      </c>
    </row>
    <row r="22">
      <c r="A22" t="inlineStr">
        <is>
          <t xml:space="preserve">   Year-end W-2 and 1099. 54.95 plus 7.50 per form on the primary control, 14.95 delivery. Non-discountable.</t>
        </is>
      </c>
    </row>
    <row r="23">
      <c r="A23" t="inlineStr">
        <is>
          <t xml:space="preserve">   Multi-state. 8.95 per month per additional state return. Upstate Logistics files in four states, so about 26.85 a month.</t>
        </is>
      </c>
    </row>
    <row r="24">
      <c r="A24" t="inlineStr">
        <is>
          <t xml:space="preserve">   Applied-for state or SUI IDs. 75 per month per jurisdiction until the ID is issued. On Upstate this could reach 300 a month.</t>
        </is>
      </c>
    </row>
    <row r="25"/>
    <row r="26">
      <c r="A26" s="34" t="inlineStr">
        <is>
          <t>CAVEATS</t>
        </is>
      </c>
    </row>
    <row r="27">
      <c r="A27" t="inlineStr">
        <is>
          <t xml:space="preserve">   Four Grid clients have no invoice yet, so their current figures are unverified.</t>
        </is>
      </c>
    </row>
    <row r="28">
      <c r="A28" t="inlineStr">
        <is>
          <t xml:space="preserve">   Complete Merchant and FRG are Gusto conversions. Grid eligibility for Gusto is not confirmed.</t>
        </is>
      </c>
    </row>
    <row r="29">
      <c r="A29" t="inlineStr">
        <is>
          <t xml:space="preserve">   B333 never ran a payroll on Paychex, so it sits on the Platinum tab.</t>
        </is>
      </c>
    </row>
    <row r="30">
      <c r="A30" t="inlineStr">
        <is>
          <t xml:space="preserve">   Every price starts at list with no discount applied. Any discount lowers the payout.</t>
        </is>
      </c>
    </row>
    <row r="31">
      <c r="A31" t="inlineStr">
        <is>
          <t xml:space="preserve">   401(k) figures are the recurring annual base only. Setup fee balances are separate:</t>
        </is>
      </c>
    </row>
    <row r="32">
      <c r="A32" t="inlineStr">
        <is>
          <t xml:space="preserve">        Walters Mirrors 2,749.07 remaining, Onchain 3,887.91, Spencer Thwaytes 3,999.00.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2026-09-24T20:11:19Z</dcterms:created>
  <dcterms:modified xsi:type="dcterms:W3CDTF">2026-09-24T20:12:10Z</dcterms:modified>
</cp:coreProperties>
</file>