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Notes 9-24-26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  <numFmt numFmtId="167" formatCode="$#,##0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29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7" fillId="0" borderId="0" pivotButton="0" quotePrefix="0" xfId="0"/>
    <xf numFmtId="165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5" fontId="4" fillId="0" borderId="1" applyAlignment="1" applyProtection="1" pivotButton="0" quotePrefix="0" xfId="1">
      <alignment horizontal="left"/>
      <protection locked="0" hidden="0"/>
    </xf>
    <xf numFmtId="166" fontId="7" fillId="0" borderId="1" applyProtection="1" pivotButton="0" quotePrefix="0" xfId="1">
      <protection locked="0" hidden="0"/>
    </xf>
    <xf numFmtId="167" fontId="0" fillId="0" borderId="0" pivotButton="0" quotePrefix="0" xfId="0"/>
    <xf numFmtId="0" fontId="0" fillId="7" borderId="0" pivotButton="0" quotePrefix="0" xfId="0"/>
    <xf numFmtId="167" fontId="7" fillId="0" borderId="0" pivotButton="0" quotePrefix="0" xfId="0"/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  <col width="14" customWidth="1" min="18" max="18"/>
    <col width="32" customWidth="1" min="19" max="19"/>
    <col width="88" customWidth="1" min="20" max="20"/>
    <col width="14" customWidth="1" min="21" max="21"/>
    <col width="20" customWidth="1" min="22" max="22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15" t="inlineStr">
        <is>
          <t>Verified?</t>
        </is>
      </c>
      <c r="S2" s="15" t="inlineStr">
        <is>
          <t>Source</t>
        </is>
      </c>
      <c r="T2" s="15" t="inlineStr">
        <is>
          <t>Notes</t>
        </is>
      </c>
      <c r="U2" s="15" t="inlineStr">
        <is>
          <t>401(k) Comp</t>
        </is>
      </c>
      <c r="V2" s="15" t="inlineStr">
        <is>
          <t>Payroll Comp</t>
        </is>
      </c>
    </row>
    <row r="3">
      <c r="A3" s="1" t="n">
        <v>1</v>
      </c>
      <c r="B3" s="2" t="inlineStr">
        <is>
          <t xml:space="preserve">Robert </t>
        </is>
      </c>
      <c r="C3" s="2" t="inlineStr">
        <is>
          <t>Shaul</t>
        </is>
      </c>
      <c r="D3" s="1" t="inlineStr">
        <is>
          <t>Existing</t>
        </is>
      </c>
      <c r="E3" s="2" t="inlineStr">
        <is>
          <t>Wisdom by Woods LLC</t>
        </is>
      </c>
      <c r="F3" s="2" t="inlineStr">
        <is>
          <t>93-3723791</t>
        </is>
      </c>
      <c r="G3" s="2" t="inlineStr">
        <is>
          <t>5320 Blue Reed Lane</t>
        </is>
      </c>
      <c r="H3" s="2" t="inlineStr">
        <is>
          <t>Lake Worth, FL 33467</t>
        </is>
      </c>
      <c r="I3" s="3" t="n">
        <v>1</v>
      </c>
      <c r="J3" s="3" t="inlineStr">
        <is>
          <t>Monthly</t>
        </is>
      </c>
      <c r="K3" s="4" t="n">
        <v>12</v>
      </c>
      <c r="L3" s="16" t="n">
        <v>129.78</v>
      </c>
      <c r="M3" s="6">
        <f>K3*L3</f>
        <v/>
      </c>
      <c r="N3" s="6" t="n"/>
      <c r="O3" s="17" t="n">
        <v>0</v>
      </c>
      <c r="P3" s="17" t="n">
        <v>200</v>
      </c>
      <c r="Q3" s="18">
        <f>M3+IF(ISNUMBER(O3),O3,0)+IF(ISNUMBER(P3),P3,0)</f>
        <v/>
      </c>
      <c r="R3" s="19" t="inlineStr">
        <is>
          <t>Verified</t>
        </is>
      </c>
      <c r="S3" t="inlineStr">
        <is>
          <t>Paychex inv 7/29/26</t>
        </is>
      </c>
      <c r="T3" s="20" t="inlineStr">
        <is>
          <t>Flex Select 137.85 + Delivery 19.50 less discount 27.57 = 129.78. Matches the original.</t>
        </is>
      </c>
    </row>
    <row r="4">
      <c r="A4" s="1" t="n">
        <v>2</v>
      </c>
      <c r="B4" s="2" t="inlineStr">
        <is>
          <t>Robert</t>
        </is>
      </c>
      <c r="C4" s="2" t="inlineStr">
        <is>
          <t>Tupe</t>
        </is>
      </c>
      <c r="D4" s="1" t="inlineStr">
        <is>
          <t>Existing</t>
        </is>
      </c>
      <c r="E4" s="2" t="inlineStr">
        <is>
          <t>Upstate Logistics Group LLC</t>
        </is>
      </c>
      <c r="F4" s="2" t="inlineStr">
        <is>
          <t>33-4154077</t>
        </is>
      </c>
      <c r="G4" s="2" t="inlineStr">
        <is>
          <t>2107 Goldfinch Blvd</t>
        </is>
      </c>
      <c r="H4" s="2" t="inlineStr">
        <is>
          <t>Princeton, NJ 08540</t>
        </is>
      </c>
      <c r="I4" s="3" t="n">
        <v>3</v>
      </c>
      <c r="J4" s="3" t="inlineStr">
        <is>
          <t>Biweekly</t>
        </is>
      </c>
      <c r="K4" s="4" t="n">
        <v>26</v>
      </c>
      <c r="L4" s="16" t="n">
        <v>78.56999999999999</v>
      </c>
      <c r="M4" s="6">
        <f>K4*L4</f>
        <v/>
      </c>
      <c r="N4" s="6" t="n"/>
      <c r="O4" s="17" t="n">
        <v>0</v>
      </c>
      <c r="P4" s="17" t="n">
        <v>200</v>
      </c>
      <c r="Q4" s="18">
        <f>M4+IF(ISNUMBER(O4),O4,0)+IF(ISNUMBER(P4),P4,0)</f>
        <v/>
      </c>
      <c r="R4" s="21" t="inlineStr">
        <is>
          <t>Not verified</t>
        </is>
      </c>
      <c r="S4" t="inlineStr">
        <is>
          <t>Eli 9/24/26</t>
        </is>
      </c>
      <c r="T4" s="20" t="inlineStr">
        <is>
          <t>No payroll invoice yet, fee left as-is. 401(k) changed from 0.91 to 0 — that charge was not a plan.</t>
        </is>
      </c>
    </row>
    <row r="5">
      <c r="A5" s="1" t="n">
        <v>3</v>
      </c>
      <c r="B5" s="2" t="inlineStr">
        <is>
          <t>Hani</t>
        </is>
      </c>
      <c r="C5" s="2" t="inlineStr">
        <is>
          <t>Amiri Manesh</t>
        </is>
      </c>
      <c r="D5" s="1" t="inlineStr">
        <is>
          <t>Existing</t>
        </is>
      </c>
      <c r="E5" s="2" t="inlineStr">
        <is>
          <t>Auction Time Pieces</t>
        </is>
      </c>
      <c r="F5" s="2" t="inlineStr">
        <is>
          <t>42-2190303</t>
        </is>
      </c>
      <c r="G5" s="2" t="inlineStr">
        <is>
          <t>24324 Walnut Steeer Suite B</t>
        </is>
      </c>
      <c r="H5" s="2" t="inlineStr">
        <is>
          <t>Newhall, CA 91321</t>
        </is>
      </c>
      <c r="I5" s="3" t="n">
        <v>2</v>
      </c>
      <c r="J5" s="3" t="inlineStr">
        <is>
          <t>Semi Monthly</t>
        </is>
      </c>
      <c r="K5" s="4" t="n">
        <v>24</v>
      </c>
      <c r="L5" s="16" t="n">
        <v>154.1</v>
      </c>
      <c r="M5" s="6">
        <f>K5*L5</f>
        <v/>
      </c>
      <c r="N5" s="6" t="n"/>
      <c r="O5" s="17" t="n">
        <v>0</v>
      </c>
      <c r="P5" s="17" t="n">
        <v>100</v>
      </c>
      <c r="Q5" s="18">
        <f>M5+IF(ISNUMBER(O5),O5,0)+IF(ISNUMBER(P5),P5,0)</f>
        <v/>
      </c>
      <c r="R5" s="22" t="inlineStr">
        <is>
          <t>Corrected</t>
        </is>
      </c>
      <c r="S5" t="inlineStr">
        <is>
          <t>Paychex inv 7/30/26</t>
        </is>
      </c>
      <c r="T5" s="20" t="inlineStr">
        <is>
          <t>Original missed Direct Deposit Premium Processing 75.00, charged every run. 79.10 + 75.00 = 154.10.</t>
        </is>
      </c>
    </row>
    <row r="6">
      <c r="A6" s="1" t="n">
        <v>4</v>
      </c>
      <c r="B6" s="2" t="inlineStr">
        <is>
          <t>Ty</t>
        </is>
      </c>
      <c r="C6" s="2" t="inlineStr">
        <is>
          <t>Tyree</t>
        </is>
      </c>
      <c r="D6" s="1" t="inlineStr">
        <is>
          <t>Existing</t>
        </is>
      </c>
      <c r="E6" s="2" t="inlineStr">
        <is>
          <t>Tyree Advisory Group LLC</t>
        </is>
      </c>
      <c r="F6" s="2" t="inlineStr">
        <is>
          <t>42-1951214</t>
        </is>
      </c>
      <c r="G6" s="2" t="inlineStr">
        <is>
          <t>106 W Dorothys Way</t>
        </is>
      </c>
      <c r="H6" s="2" t="inlineStr">
        <is>
          <t>Lincoln University, PA 19352</t>
        </is>
      </c>
      <c r="I6" s="3" t="n">
        <v>1</v>
      </c>
      <c r="J6" s="3" t="inlineStr">
        <is>
          <t>Monthly</t>
        </is>
      </c>
      <c r="K6" s="4" t="n">
        <v>12</v>
      </c>
      <c r="L6" s="16" t="n">
        <v>71.92</v>
      </c>
      <c r="M6" s="6">
        <f>K6*L6</f>
        <v/>
      </c>
      <c r="N6" s="6" t="n"/>
      <c r="O6" s="17" t="n">
        <v>0</v>
      </c>
      <c r="P6" s="17" t="n">
        <v>200</v>
      </c>
      <c r="Q6" s="18">
        <f>M6+IF(ISNUMBER(O6),O6,0)+IF(ISNUMBER(P6),P6,0)</f>
        <v/>
      </c>
      <c r="R6" s="21" t="inlineStr">
        <is>
          <t>Not verified</t>
        </is>
      </c>
      <c r="S6" t="inlineStr">
        <is>
          <t>—</t>
        </is>
      </c>
      <c r="T6" s="20" t="inlineStr">
        <is>
          <t>No invoice yet. Original figure retained.</t>
        </is>
      </c>
    </row>
    <row r="7">
      <c r="A7" s="1" t="n">
        <v>5</v>
      </c>
      <c r="B7" s="2" t="inlineStr">
        <is>
          <t xml:space="preserve">Robert </t>
        </is>
      </c>
      <c r="C7" s="2" t="inlineStr">
        <is>
          <t>Watson</t>
        </is>
      </c>
      <c r="D7" s="1" t="inlineStr">
        <is>
          <t>Existing</t>
        </is>
      </c>
      <c r="E7" s="2" t="inlineStr">
        <is>
          <t>Onchain Strategies LLC</t>
        </is>
      </c>
      <c r="F7" s="2" t="inlineStr">
        <is>
          <t>33-3282413</t>
        </is>
      </c>
      <c r="G7" s="2" t="inlineStr">
        <is>
          <t>655 Pyrite Will St</t>
        </is>
      </c>
      <c r="H7" s="2" t="inlineStr">
        <is>
          <t>Las Vegas, NV 89138</t>
        </is>
      </c>
      <c r="I7" s="3" t="n">
        <v>1</v>
      </c>
      <c r="J7" s="3" t="inlineStr">
        <is>
          <t>Monthly</t>
        </is>
      </c>
      <c r="K7" s="4" t="n">
        <v>12</v>
      </c>
      <c r="L7" s="16" t="n">
        <v>101</v>
      </c>
      <c r="M7" s="6">
        <f>K7*L7</f>
        <v/>
      </c>
      <c r="N7" s="6" t="inlineStr">
        <is>
          <t>Yes</t>
        </is>
      </c>
      <c r="O7" s="17" t="n">
        <v>2172</v>
      </c>
      <c r="P7" s="17" t="n">
        <v>0</v>
      </c>
      <c r="Q7" s="18">
        <f>M7+IF(ISNUMBER(O7),O7,0)+IF(ISNUMBER(P7),P7,0)</f>
        <v/>
      </c>
      <c r="R7" s="22" t="inlineStr">
        <is>
          <t>Corrected</t>
        </is>
      </c>
      <c r="S7" t="inlineStr">
        <is>
          <t>Paychex inv 5/27/26; HRS stmts 8/4, 9/1</t>
        </is>
      </c>
      <c r="T7" s="20" t="inlineStr">
        <is>
          <t>Base is Officer Only Payroll 65.00, not 58.00, plus Delivery 36.00. 401(k) recurring 181.00/mo = 2,172.00/yr.</t>
        </is>
      </c>
      <c r="U7" s="26" t="n">
        <v>750</v>
      </c>
    </row>
    <row r="8">
      <c r="A8" s="1" t="n">
        <v>6</v>
      </c>
      <c r="B8" s="2" t="inlineStr">
        <is>
          <t xml:space="preserve">Ricardo </t>
        </is>
      </c>
      <c r="C8" s="2" t="inlineStr">
        <is>
          <t>De'Carvalho</t>
        </is>
      </c>
      <c r="D8" s="1" t="inlineStr">
        <is>
          <t>Existing</t>
        </is>
      </c>
      <c r="E8" s="2" t="inlineStr">
        <is>
          <t>RJC Holdings</t>
        </is>
      </c>
      <c r="F8" s="2" t="inlineStr">
        <is>
          <t>86-2385686</t>
        </is>
      </c>
      <c r="G8" s="2" t="inlineStr">
        <is>
          <t>6278 North Federal Highway</t>
        </is>
      </c>
      <c r="H8" s="2" t="inlineStr">
        <is>
          <t>Fort Lauderdale, FL 33308</t>
        </is>
      </c>
      <c r="I8" s="3" t="n">
        <v>1</v>
      </c>
      <c r="J8" s="3" t="inlineStr">
        <is>
          <t>Monthly</t>
        </is>
      </c>
      <c r="K8" s="4" t="n">
        <v>12</v>
      </c>
      <c r="L8" s="16" t="n">
        <v>58</v>
      </c>
      <c r="M8" s="6">
        <f>K8*L8</f>
        <v/>
      </c>
      <c r="N8" s="6" t="n"/>
      <c r="O8" s="17" t="n">
        <v>0</v>
      </c>
      <c r="P8" s="17" t="n">
        <v>0</v>
      </c>
      <c r="Q8" s="18">
        <f>M8+IF(ISNUMBER(O8),O8,0)+IF(ISNUMBER(P8),P8,0)</f>
        <v/>
      </c>
      <c r="R8" s="21" t="inlineStr">
        <is>
          <t>Not verified</t>
        </is>
      </c>
      <c r="S8" t="inlineStr">
        <is>
          <t>—</t>
        </is>
      </c>
      <c r="T8" s="20" t="inlineStr">
        <is>
          <t>No invoice yet. Paychex cannot link Partner Pro to this client.</t>
        </is>
      </c>
    </row>
    <row r="9">
      <c r="A9" s="1" t="n">
        <v>7</v>
      </c>
      <c r="B9" s="2" t="inlineStr">
        <is>
          <t xml:space="preserve">Dave </t>
        </is>
      </c>
      <c r="C9" s="2" t="inlineStr">
        <is>
          <t>Truscello</t>
        </is>
      </c>
      <c r="D9" s="1" t="inlineStr">
        <is>
          <t>Existing</t>
        </is>
      </c>
      <c r="E9" s="2" t="inlineStr">
        <is>
          <t>Backfin Logistics LLC</t>
        </is>
      </c>
      <c r="F9" s="2" t="inlineStr">
        <is>
          <t>33-4371485</t>
        </is>
      </c>
      <c r="G9" s="2" t="inlineStr">
        <is>
          <t>7921 SPRINGWAY RD</t>
        </is>
      </c>
      <c r="H9" s="2" t="inlineStr">
        <is>
          <t>Towson, MD 21204</t>
        </is>
      </c>
      <c r="I9" s="3" t="n">
        <v>3</v>
      </c>
      <c r="J9" s="3" t="inlineStr">
        <is>
          <t>Semi Monthly</t>
        </is>
      </c>
      <c r="K9" s="4" t="n">
        <v>24</v>
      </c>
      <c r="L9" s="16" t="n">
        <v>98.5</v>
      </c>
      <c r="M9" s="6">
        <f>K9*L9</f>
        <v/>
      </c>
      <c r="N9" s="6" t="n"/>
      <c r="O9" s="17" t="n">
        <v>0</v>
      </c>
      <c r="P9" s="17" t="n">
        <v>0</v>
      </c>
      <c r="Q9" s="18">
        <f>M9+IF(ISNUMBER(O9),O9,0)+IF(ISNUMBER(P9),P9,0)</f>
        <v/>
      </c>
      <c r="R9" s="19" t="inlineStr">
        <is>
          <t>Verified</t>
        </is>
      </c>
      <c r="S9" t="inlineStr">
        <is>
          <t>Paychex inv 8/12, 8/26, 9/11/26</t>
        </is>
      </c>
      <c r="T9" s="20" t="inlineStr">
        <is>
          <t>Flex Select 95.50 + Taxpay Locals 3.00 = 98.50 on all three. Semi-monthly confirmed by check dates 8/14, 8/31, 9/15.</t>
        </is>
      </c>
    </row>
    <row r="10">
      <c r="A10" s="1" t="n">
        <v>8</v>
      </c>
      <c r="B10" s="2" t="inlineStr">
        <is>
          <t>Niccolo</t>
        </is>
      </c>
      <c r="C10" s="2" t="inlineStr">
        <is>
          <t>Russino</t>
        </is>
      </c>
      <c r="D10" s="1" t="inlineStr">
        <is>
          <t>Existing</t>
        </is>
      </c>
      <c r="E10" s="2" t="inlineStr">
        <is>
          <t>Walters Mirrors Inc</t>
        </is>
      </c>
      <c r="F10" s="2" t="inlineStr">
        <is>
          <t>33-3877704</t>
        </is>
      </c>
      <c r="G10" s="2" t="inlineStr">
        <is>
          <t>1625 Cody, Ave</t>
        </is>
      </c>
      <c r="H10" s="2" t="inlineStr">
        <is>
          <t>Ridgewood, NY 11385-5733</t>
        </is>
      </c>
      <c r="I10" s="3" t="n">
        <v>3</v>
      </c>
      <c r="J10" s="3" t="inlineStr">
        <is>
          <t>Biweekly</t>
        </is>
      </c>
      <c r="K10" s="4" t="n">
        <v>26</v>
      </c>
      <c r="L10" s="16" t="n">
        <v>502.15</v>
      </c>
      <c r="M10" s="6">
        <f>K10*L10</f>
        <v/>
      </c>
      <c r="N10" s="6" t="inlineStr">
        <is>
          <t>Yes</t>
        </is>
      </c>
      <c r="O10" s="17" t="n">
        <v>2316</v>
      </c>
      <c r="P10" s="17" t="n">
        <v>200</v>
      </c>
      <c r="Q10" s="18">
        <f>M10+IF(ISNUMBER(O10),O10,0)+IF(ISNUMBER(P10),P10,0)</f>
        <v/>
      </c>
      <c r="R10" s="22" t="inlineStr">
        <is>
          <t>Corrected</t>
        </is>
      </c>
      <c r="S10" t="inlineStr">
        <is>
          <t>Paychex inv 9/2 + 9/14/26; HRS stmts 7/5, 8/5, 9/1</t>
        </is>
      </c>
      <c r="T10" s="20" t="inlineStr">
        <is>
          <t>HR Pro is a bundled HR and payroll fee, 896.70 less 394.55 discount = 502.15 per run, bi-weekly. Invoice shows 3 active employees, not 5. 401(k) recurring 193.00/mo = 2,316.00/yr.</t>
        </is>
      </c>
      <c r="U10" s="26" t="n">
        <v>750</v>
      </c>
    </row>
    <row r="11">
      <c r="A11" s="1" t="n">
        <v>9</v>
      </c>
      <c r="B11" s="2" t="inlineStr">
        <is>
          <t>Spencer</t>
        </is>
      </c>
      <c r="C11" s="2" t="inlineStr">
        <is>
          <t>Thwaytes</t>
        </is>
      </c>
      <c r="D11" s="1" t="inlineStr">
        <is>
          <t>Existing</t>
        </is>
      </c>
      <c r="E11" s="2" t="inlineStr">
        <is>
          <t>Spencer Thwaytes &amp; Co LLC</t>
        </is>
      </c>
      <c r="F11" s="2" t="inlineStr">
        <is>
          <t>93-1357097</t>
        </is>
      </c>
      <c r="G11" s="2" t="inlineStr">
        <is>
          <t>1524 Bayview Drive</t>
        </is>
      </c>
      <c r="H11" s="2" t="inlineStr">
        <is>
          <t>Fort Lauderdale, FL 33304</t>
        </is>
      </c>
      <c r="I11" s="3" t="n">
        <v>3</v>
      </c>
      <c r="J11" s="3" t="inlineStr">
        <is>
          <t>Monthly</t>
        </is>
      </c>
      <c r="K11" s="4" t="n">
        <v>12</v>
      </c>
      <c r="L11" s="16" t="n">
        <v>77</v>
      </c>
      <c r="M11" s="6">
        <f>K11*L11</f>
        <v/>
      </c>
      <c r="N11" s="6" t="inlineStr">
        <is>
          <t>Yes</t>
        </is>
      </c>
      <c r="O11" s="17" t="n">
        <v>2100</v>
      </c>
      <c r="P11" s="17" t="n">
        <v>100</v>
      </c>
      <c r="Q11" s="18">
        <f>M11+IF(ISNUMBER(O11),O11,0)+IF(ISNUMBER(P11),P11,0)</f>
        <v/>
      </c>
      <c r="R11" s="19" t="inlineStr">
        <is>
          <t>Verified</t>
        </is>
      </c>
      <c r="S11" t="inlineStr">
        <is>
          <t>Paychex inv 8/27/26; HRS stmts 8/4, 9/1</t>
        </is>
      </c>
      <c r="T11" s="20" t="inlineStr">
        <is>
          <t>Express Payroll 77.00 matches the original. 401(k) recurring 175.00/mo = 2,100.00/yr.</t>
        </is>
      </c>
      <c r="U11" s="26" t="n">
        <v>750</v>
      </c>
    </row>
    <row r="12">
      <c r="A12" s="1" t="n">
        <v>10</v>
      </c>
      <c r="B12" s="2" t="inlineStr">
        <is>
          <t>Heather</t>
        </is>
      </c>
      <c r="C12" s="2" t="inlineStr">
        <is>
          <t>Kranz</t>
        </is>
      </c>
      <c r="D12" s="1" t="inlineStr">
        <is>
          <t>Existing</t>
        </is>
      </c>
      <c r="E12" s="2" t="inlineStr">
        <is>
          <t>Kranz Motorcars LLC</t>
        </is>
      </c>
      <c r="F12" s="2" t="inlineStr">
        <is>
          <t>39-2155930</t>
        </is>
      </c>
      <c r="G12" s="2" t="inlineStr">
        <is>
          <t>432 S Walnut St</t>
        </is>
      </c>
      <c r="H12" s="2" t="inlineStr">
        <is>
          <t>Kennett Square, PA 19348</t>
        </is>
      </c>
      <c r="I12" s="3" t="n">
        <v>1</v>
      </c>
      <c r="J12" s="3" t="inlineStr">
        <is>
          <t>Weekly</t>
        </is>
      </c>
      <c r="K12" s="4" t="n">
        <v>52</v>
      </c>
      <c r="L12" s="16" t="n">
        <v>59.5</v>
      </c>
      <c r="M12" s="6">
        <f>K12*L12</f>
        <v/>
      </c>
      <c r="N12" s="6" t="n"/>
      <c r="O12" s="17" t="n">
        <v>0</v>
      </c>
      <c r="P12" s="17" t="n">
        <v>100</v>
      </c>
      <c r="Q12" s="18">
        <f>M12+IF(ISNUMBER(O12),O12,0)+IF(ISNUMBER(P12),P12,0)</f>
        <v/>
      </c>
      <c r="R12" s="21" t="inlineStr">
        <is>
          <t>Not verified</t>
        </is>
      </c>
      <c r="S12" t="inlineStr">
        <is>
          <t>—</t>
        </is>
      </c>
      <c r="T12" s="20" t="inlineStr">
        <is>
          <t>No invoice yet. Waiting on the client to grant Partner Pro access.</t>
        </is>
      </c>
    </row>
    <row r="13">
      <c r="A13" s="1" t="n">
        <v>11</v>
      </c>
      <c r="B13" s="2" t="inlineStr">
        <is>
          <t>Oliver</t>
        </is>
      </c>
      <c r="C13" s="2" t="inlineStr">
        <is>
          <t>Beirne</t>
        </is>
      </c>
      <c r="D13" s="1" t="inlineStr">
        <is>
          <t>Existing</t>
        </is>
      </c>
      <c r="E13" s="2" t="inlineStr">
        <is>
          <t>B333 Trading Group LLC</t>
        </is>
      </c>
      <c r="F13" s="2" t="inlineStr">
        <is>
          <t>42-2175878</t>
        </is>
      </c>
      <c r="G13" s="2" t="inlineStr">
        <is>
          <t>980 N Federal Hwy Suite 314</t>
        </is>
      </c>
      <c r="H13" s="2" t="inlineStr">
        <is>
          <t>Boca Raton FL 33432</t>
        </is>
      </c>
      <c r="I13" s="3" t="n">
        <v>2</v>
      </c>
      <c r="J13" s="3" t="inlineStr">
        <is>
          <t>Monthly</t>
        </is>
      </c>
      <c r="K13" s="4" t="n">
        <v>12</v>
      </c>
      <c r="L13" s="16" t="n">
        <v>0</v>
      </c>
      <c r="M13" s="6">
        <f>K13*L13</f>
        <v/>
      </c>
      <c r="N13" s="6" t="inlineStr">
        <is>
          <t>Yes</t>
        </is>
      </c>
      <c r="O13" s="4" t="n"/>
      <c r="P13" s="4" t="n"/>
      <c r="Q13" s="18">
        <f>M13+IF(ISNUMBER(O13),O13,0)+IF(ISNUMBER(P13),P13,0)</f>
        <v/>
      </c>
      <c r="R13" s="23" t="inlineStr">
        <is>
          <t>No current cost</t>
        </is>
      </c>
      <c r="S13" t="inlineStr">
        <is>
          <t>Stephen 9/22/26</t>
        </is>
      </c>
      <c r="T13" s="20" t="inlineStr">
        <is>
          <t>Set up at Paychex but has never run a payroll, so there is no current billing.</t>
        </is>
      </c>
      <c r="U13" s="26" t="n">
        <v>300</v>
      </c>
    </row>
    <row r="14">
      <c r="A14" s="1" t="n">
        <v>12</v>
      </c>
      <c r="B14" s="2" t="inlineStr">
        <is>
          <t xml:space="preserve">Anthony </t>
        </is>
      </c>
      <c r="C14" s="2" t="inlineStr">
        <is>
          <t xml:space="preserve">Gerb </t>
        </is>
      </c>
      <c r="D14" s="1" t="inlineStr">
        <is>
          <t>New</t>
        </is>
      </c>
      <c r="E14" s="2" t="inlineStr">
        <is>
          <t>AJG Trading LLC</t>
        </is>
      </c>
      <c r="F14" s="2" t="inlineStr">
        <is>
          <t>41-5035542</t>
        </is>
      </c>
      <c r="G14" s="2" t="inlineStr">
        <is>
          <t>1881 N Nash Street Apt No 705</t>
        </is>
      </c>
      <c r="H14" s="2" t="inlineStr">
        <is>
          <t>Arlington, VA 22209</t>
        </is>
      </c>
      <c r="I14" s="3" t="n">
        <v>1</v>
      </c>
      <c r="J14" s="3" t="inlineStr">
        <is>
          <t>Monthly</t>
        </is>
      </c>
      <c r="K14" s="4" t="n">
        <v>12</v>
      </c>
      <c r="L14" s="16" t="n">
        <v>0</v>
      </c>
      <c r="M14" s="6">
        <f>K14*L14</f>
        <v/>
      </c>
      <c r="N14" s="6" t="inlineStr">
        <is>
          <t>Yes</t>
        </is>
      </c>
      <c r="O14" s="4" t="n"/>
      <c r="P14" s="4" t="n"/>
      <c r="Q14" s="18">
        <f>M14+IF(ISNUMBER(O14),O14,0)+IF(ISNUMBER(P14),P14,0)</f>
        <v/>
      </c>
      <c r="R14" s="23" t="inlineStr">
        <is>
          <t>No current cost</t>
        </is>
      </c>
      <c r="S14" t="inlineStr">
        <is>
          <t>Stephen 9/22/26</t>
        </is>
      </c>
      <c r="T14" s="20" t="inlineStr">
        <is>
          <t>Brand new payroll client, no current provider.</t>
        </is>
      </c>
      <c r="U14" s="26" t="n">
        <v>300</v>
      </c>
      <c r="V14" s="27" t="inlineStr">
        <is>
          <t>One-time payment</t>
        </is>
      </c>
    </row>
    <row r="15">
      <c r="A15" s="1" t="n">
        <v>13</v>
      </c>
      <c r="B15" s="2" t="inlineStr">
        <is>
          <t xml:space="preserve">Richard </t>
        </is>
      </c>
      <c r="C15" s="2" t="inlineStr">
        <is>
          <t>Zamilpa</t>
        </is>
      </c>
      <c r="D15" s="1" t="inlineStr">
        <is>
          <t>Existing (Gusto)</t>
        </is>
      </c>
      <c r="E15" s="2" t="inlineStr">
        <is>
          <t>Complete Merchant Services Consulting</t>
        </is>
      </c>
      <c r="F15" s="2" t="inlineStr">
        <is>
          <t>99-4630525</t>
        </is>
      </c>
      <c r="G15" s="2" t="inlineStr">
        <is>
          <t>6252 Isabel Cove Ave</t>
        </is>
      </c>
      <c r="H15" s="2" t="inlineStr">
        <is>
          <t xml:space="preserve"> Las Vegas NV 89139 </t>
        </is>
      </c>
      <c r="I15" s="3" t="n">
        <v>2</v>
      </c>
      <c r="J15" s="3" t="inlineStr">
        <is>
          <t>Monthly</t>
        </is>
      </c>
      <c r="K15" s="4" t="n">
        <v>12</v>
      </c>
      <c r="L15" s="16" t="n">
        <v>100</v>
      </c>
      <c r="M15" s="6">
        <f>K15*L15</f>
        <v/>
      </c>
      <c r="N15" s="6" t="inlineStr">
        <is>
          <t>Yes</t>
        </is>
      </c>
      <c r="O15" s="4" t="n"/>
      <c r="P15" s="4" t="n"/>
      <c r="Q15" s="18">
        <f>M15+IF(ISNUMBER(O15),O15,0)+IF(ISNUMBER(P15),P15,0)</f>
        <v/>
      </c>
      <c r="R15" s="22" t="inlineStr">
        <is>
          <t>Corrected</t>
        </is>
      </c>
      <c r="S15" t="inlineStr">
        <is>
          <t>Stephen 9/22/26</t>
        </is>
      </c>
      <c r="T15" s="20" t="inlineStr">
        <is>
          <t>On Gusto at 100.00/month, 2 employees, payroll only, no 401(k). Not a Paychex client.</t>
        </is>
      </c>
      <c r="U15" s="26" t="n">
        <v>300</v>
      </c>
    </row>
    <row r="16">
      <c r="A16" s="1" t="n">
        <v>14</v>
      </c>
      <c r="B16" s="2" t="inlineStr">
        <is>
          <t xml:space="preserve">Frank </t>
        </is>
      </c>
      <c r="C16" s="2" t="inlineStr">
        <is>
          <t xml:space="preserve">Giordano </t>
        </is>
      </c>
      <c r="D16" s="1" t="inlineStr">
        <is>
          <t>Existing (Gusto)</t>
        </is>
      </c>
      <c r="E16" s="2" t="inlineStr">
        <is>
          <t>FRG Advisory, LLC</t>
        </is>
      </c>
      <c r="F16" s="2" t="inlineStr">
        <is>
          <t>40-0020506</t>
        </is>
      </c>
      <c r="G16" s="2" t="inlineStr">
        <is>
          <t>431 E 20th Street</t>
        </is>
      </c>
      <c r="H16" s="2" t="inlineStr">
        <is>
          <t>New York NY 10010</t>
        </is>
      </c>
      <c r="I16" s="3" t="n">
        <v>1</v>
      </c>
      <c r="J16" s="3" t="inlineStr">
        <is>
          <t>Monthly</t>
        </is>
      </c>
      <c r="K16" s="4" t="n">
        <v>12</v>
      </c>
      <c r="L16" s="16" t="n">
        <v>50</v>
      </c>
      <c r="M16" s="6">
        <f>K16*L16</f>
        <v/>
      </c>
      <c r="N16" s="6" t="inlineStr">
        <is>
          <t>Yes</t>
        </is>
      </c>
      <c r="O16" s="4" t="n"/>
      <c r="P16" s="4" t="n"/>
      <c r="Q16" s="18">
        <f>M16+IF(ISNUMBER(O16),O16,0)+IF(ISNUMBER(P16),P16,0)</f>
        <v/>
      </c>
      <c r="R16" s="22" t="inlineStr">
        <is>
          <t>Corrected</t>
        </is>
      </c>
      <c r="S16" t="inlineStr">
        <is>
          <t>Stephen 9/22/26</t>
        </is>
      </c>
      <c r="T16" s="20" t="inlineStr">
        <is>
          <t>On Gusto at 50.00/month, monthly. Original had 70.00.</t>
        </is>
      </c>
      <c r="U16" s="26" t="n">
        <v>300</v>
      </c>
    </row>
    <row r="17">
      <c r="A17" s="1" t="n">
        <v>15</v>
      </c>
      <c r="B17" s="2" t="inlineStr">
        <is>
          <t xml:space="preserve">Alexander </t>
        </is>
      </c>
      <c r="C17" s="2" t="inlineStr">
        <is>
          <t>Harris</t>
        </is>
      </c>
      <c r="D17" s="1" t="inlineStr">
        <is>
          <t>New</t>
        </is>
      </c>
      <c r="E17" s="2" t="inlineStr">
        <is>
          <t>Kapstone Digital LLC</t>
        </is>
      </c>
      <c r="F17" s="2" t="inlineStr">
        <is>
          <t>85-3782692</t>
        </is>
      </c>
      <c r="G17" s="2" t="inlineStr">
        <is>
          <t>936 SW 1st Ave Apt. No. 406</t>
        </is>
      </c>
      <c r="H17" s="2" t="inlineStr">
        <is>
          <t>Miami, FL 33130</t>
        </is>
      </c>
      <c r="I17" s="3" t="n">
        <v>1</v>
      </c>
      <c r="J17" s="3" t="inlineStr">
        <is>
          <t>Monthly</t>
        </is>
      </c>
      <c r="K17" s="4" t="n">
        <v>12</v>
      </c>
      <c r="L17" s="16" t="n">
        <v>0</v>
      </c>
      <c r="M17" s="6">
        <f>K17*L17</f>
        <v/>
      </c>
      <c r="N17" s="6" t="inlineStr">
        <is>
          <t>Yes</t>
        </is>
      </c>
      <c r="O17" s="4" t="n"/>
      <c r="P17" s="4" t="n"/>
      <c r="Q17" s="18">
        <f>M17+IF(ISNUMBER(O17),O17,0)+IF(ISNUMBER(P17),P17,0)</f>
        <v/>
      </c>
      <c r="R17" s="23" t="inlineStr">
        <is>
          <t>No current cost</t>
        </is>
      </c>
      <c r="S17" t="inlineStr">
        <is>
          <t>Stephen 9/22/26</t>
        </is>
      </c>
      <c r="T17" s="20" t="inlineStr">
        <is>
          <t>Brand new payroll client, no current provider.</t>
        </is>
      </c>
      <c r="U17" s="26" t="n">
        <v>300</v>
      </c>
      <c r="V17" s="27" t="inlineStr">
        <is>
          <t>One-time payment</t>
        </is>
      </c>
    </row>
    <row r="18">
      <c r="A18" s="1" t="n">
        <v>16</v>
      </c>
      <c r="B18" s="2" t="inlineStr">
        <is>
          <t>Benjamin</t>
        </is>
      </c>
      <c r="C18" s="2" t="inlineStr">
        <is>
          <t xml:space="preserve">Solomon </t>
        </is>
      </c>
      <c r="D18" s="1" t="inlineStr">
        <is>
          <t>Existing (IRS direct)</t>
        </is>
      </c>
      <c r="E18" s="2" t="inlineStr">
        <is>
          <t>Broadway 2000, Inc</t>
        </is>
      </c>
      <c r="F18" s="2" t="inlineStr">
        <is>
          <t>85-3662838</t>
        </is>
      </c>
      <c r="G18" s="2" t="inlineStr">
        <is>
          <t>662 Driggs Avenue</t>
        </is>
      </c>
      <c r="H18" s="2" t="inlineStr">
        <is>
          <t>Brooklyn, NY 11211</t>
        </is>
      </c>
      <c r="I18" s="3" t="n">
        <v>1</v>
      </c>
      <c r="J18" s="3" t="inlineStr">
        <is>
          <t>Yearly</t>
        </is>
      </c>
      <c r="K18" s="4" t="n">
        <v>1</v>
      </c>
      <c r="L18" s="16" t="n">
        <v>400</v>
      </c>
      <c r="M18" s="6">
        <f>K18*L18</f>
        <v/>
      </c>
      <c r="N18" s="6" t="inlineStr">
        <is>
          <t>Yes</t>
        </is>
      </c>
      <c r="O18" s="4" t="n"/>
      <c r="P18" s="4" t="n"/>
      <c r="Q18" s="18">
        <f>M18+IF(ISNUMBER(O18),O18,0)+IF(ISNUMBER(P18),P18,0)</f>
        <v/>
      </c>
      <c r="R18" s="22" t="inlineStr">
        <is>
          <t>Corrected</t>
        </is>
      </c>
      <c r="S18" t="inlineStr">
        <is>
          <t>Stephen 9/22/26</t>
        </is>
      </c>
      <c r="T18" s="20" t="inlineStr">
        <is>
          <t>No provider. Pays through IRS Treasury online, cash payroll, about 400.00/yr. Original had 300.00.</t>
        </is>
      </c>
      <c r="U18" s="26" t="n">
        <v>300</v>
      </c>
    </row>
    <row r="19">
      <c r="A19" s="1" t="n">
        <v>17</v>
      </c>
      <c r="B19" s="2" t="inlineStr">
        <is>
          <t>John</t>
        </is>
      </c>
      <c r="C19" s="2" t="inlineStr">
        <is>
          <t>Ewing</t>
        </is>
      </c>
      <c r="D19" s="1" t="inlineStr">
        <is>
          <t>New</t>
        </is>
      </c>
      <c r="E19" s="2" t="inlineStr">
        <is>
          <t>Atlas Opera, Inc.</t>
        </is>
      </c>
      <c r="F19" s="2" t="inlineStr">
        <is>
          <t>82-2302400</t>
        </is>
      </c>
      <c r="G19" s="2" t="inlineStr">
        <is>
          <t>83 Canal Street</t>
        </is>
      </c>
      <c r="H19" s="2" t="inlineStr">
        <is>
          <t>New York, NY 10002</t>
        </is>
      </c>
      <c r="I19" s="3" t="n">
        <v>1</v>
      </c>
      <c r="J19" s="3" t="inlineStr">
        <is>
          <t>Monthly</t>
        </is>
      </c>
      <c r="K19" s="4" t="n">
        <v>12</v>
      </c>
      <c r="L19" s="16" t="n">
        <v>0</v>
      </c>
      <c r="M19" s="6">
        <f>K19*L19</f>
        <v/>
      </c>
      <c r="N19" s="6" t="n"/>
      <c r="O19" s="4" t="n"/>
      <c r="P19" s="4" t="n"/>
      <c r="Q19" s="18">
        <f>M19+IF(ISNUMBER(O19),O19,0)+IF(ISNUMBER(P19),P19,0)</f>
        <v/>
      </c>
      <c r="R19" s="23" t="inlineStr">
        <is>
          <t>No current cost</t>
        </is>
      </c>
      <c r="S19" t="inlineStr">
        <is>
          <t>—</t>
        </is>
      </c>
      <c r="T19" s="20" t="inlineStr">
        <is>
          <t>Brand new payroll client, no current provider.</t>
        </is>
      </c>
      <c r="V19" s="27" t="inlineStr">
        <is>
          <t>One-time payment</t>
        </is>
      </c>
    </row>
    <row r="20">
      <c r="A20" s="1" t="n">
        <v>18</v>
      </c>
      <c r="B20" s="2" t="inlineStr">
        <is>
          <t xml:space="preserve">Christina </t>
        </is>
      </c>
      <c r="C20" s="2" t="inlineStr">
        <is>
          <t xml:space="preserve">Pellicane </t>
        </is>
      </c>
      <c r="D20" s="1" t="inlineStr">
        <is>
          <t>New</t>
        </is>
      </c>
      <c r="E20" s="2" t="inlineStr">
        <is>
          <t>North Star Works, LLC</t>
        </is>
      </c>
      <c r="F20" s="2" t="inlineStr">
        <is>
          <t>42-4495054</t>
        </is>
      </c>
      <c r="G20" s="2" t="inlineStr">
        <is>
          <t>121 S Colts Neck Way</t>
        </is>
      </c>
      <c r="H20" s="2" t="inlineStr">
        <is>
          <t>Hockessin, DE 19707</t>
        </is>
      </c>
      <c r="I20" s="3" t="n">
        <v>1</v>
      </c>
      <c r="J20" s="3" t="inlineStr">
        <is>
          <t>Monthly</t>
        </is>
      </c>
      <c r="K20" s="4" t="n">
        <v>12</v>
      </c>
      <c r="L20" s="16" t="n">
        <v>0</v>
      </c>
      <c r="M20" s="6">
        <f>K20*L20</f>
        <v/>
      </c>
      <c r="N20" s="6" t="inlineStr">
        <is>
          <t>Yes</t>
        </is>
      </c>
      <c r="O20" s="4" t="n"/>
      <c r="P20" s="4" t="n"/>
      <c r="Q20" s="18">
        <f>M20+IF(ISNUMBER(O20),O20,0)+IF(ISNUMBER(P20),P20,0)</f>
        <v/>
      </c>
      <c r="R20" s="23" t="inlineStr">
        <is>
          <t>No current cost</t>
        </is>
      </c>
      <c r="S20" t="inlineStr">
        <is>
          <t>Stephen 9/22/26</t>
        </is>
      </c>
      <c r="T20" s="20" t="inlineStr">
        <is>
          <t>Brand new payroll client, no current provider.</t>
        </is>
      </c>
      <c r="U20" s="26" t="n">
        <v>300</v>
      </c>
      <c r="V20" s="27" t="inlineStr">
        <is>
          <t>One-time payment</t>
        </is>
      </c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16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16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16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16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16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16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16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16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4" t="inlineStr">
        <is>
          <t>Total</t>
        </is>
      </c>
      <c r="M29" s="12">
        <f>SUM(M3:M26)</f>
        <v/>
      </c>
      <c r="N29" s="6" t="n"/>
      <c r="O29" s="4" t="n"/>
      <c r="P29" s="4" t="n"/>
      <c r="Q29" s="25">
        <f>SUM(Q3:Q26)</f>
        <v/>
      </c>
      <c r="U29" s="28">
        <f>SUM(U3:U26)</f>
        <v/>
      </c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4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4" t="inlineStr">
        <is>
          <t>Multiplier</t>
        </is>
      </c>
      <c r="M31" s="12">
        <f>M29*2</f>
        <v/>
      </c>
      <c r="N31" s="6" t="n"/>
      <c r="O31" s="4" t="n"/>
      <c r="P31" s="4" t="n"/>
      <c r="Q31" s="18">
        <f>Q29*2</f>
        <v/>
      </c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16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16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16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16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16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16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16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16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16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16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16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16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16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5" t="inlineStr">
        <is>
          <t>WHAT CHANGED ON THIS SHEET — 9/24/2026</t>
        </is>
      </c>
    </row>
    <row r="3">
      <c r="A3" t="inlineStr">
        <is>
          <t>Pricing is now what has been verified from actual Paychex invoices and retirement billing statements.</t>
        </is>
      </c>
    </row>
    <row r="4">
      <c r="A4" t="inlineStr">
        <is>
          <t>Columns R, S and T were added: whether a row is verified, the source, and a note. Nothing else was removed.</t>
        </is>
      </c>
    </row>
    <row r="6">
      <c r="A6" s="15" t="inlineStr">
        <is>
          <t>CELLS CHANGED, besides Fee Per payroll run:</t>
        </is>
      </c>
    </row>
    <row r="7">
      <c r="A7" t="inlineStr">
        <is>
          <t xml:space="preserve">   Walters Mirrors — employees 5 to 3, frequency Semi Monthly to Biweekly, runs 24 to 26. The invoice shows 3 active employees.</t>
        </is>
      </c>
    </row>
    <row r="8">
      <c r="A8" t="inlineStr">
        <is>
          <t xml:space="preserve">   Upstate Logistics — 401(k) fees 0.91 to 0. That charge was not a plan.</t>
        </is>
      </c>
    </row>
    <row r="9">
      <c r="A9" t="inlineStr">
        <is>
          <t xml:space="preserve">   Complete Merchant, FRG, Broadway 2000 — status now reads Existing, with the provider named.</t>
        </is>
      </c>
    </row>
    <row r="10">
      <c r="A10" t="inlineStr">
        <is>
          <t xml:space="preserve">   401(k) fees for Onchain, Walters and Spencer Thwaytes replaced with the verified annual base.</t>
        </is>
      </c>
    </row>
    <row r="11">
      <c r="A11" t="inlineStr">
        <is>
          <t xml:space="preserve">   Column Q, Total Current Annualized Billings, was empty and is now run rate plus 401(k) plus other fees.</t>
        </is>
      </c>
    </row>
    <row r="13">
      <c r="A13" s="15" t="inlineStr">
        <is>
          <t>WHAT IS IN THE FEE PER PAYROLL RUN</t>
        </is>
      </c>
    </row>
    <row r="14">
      <c r="A14" t="inlineStr">
        <is>
          <t xml:space="preserve">   Every charge that hits each run: Delivery, Taxpay Locals, Direct Deposit Premium Processing, and the standing client discount.</t>
        </is>
      </c>
    </row>
    <row r="15">
      <c r="A15" t="inlineStr">
        <is>
          <t xml:space="preserve">   Excluded: one-time setup fees, and Missing State ID or Missing Local ID penalties, which stop once the registrations are filed.</t>
        </is>
      </c>
    </row>
    <row r="17">
      <c r="A17" s="15" t="inlineStr">
        <is>
          <t>401(K) FEES COLUMN</t>
        </is>
      </c>
    </row>
    <row r="18">
      <c r="A18" t="inlineStr">
        <is>
          <t xml:space="preserve">   This is the annual recurring base only: recordkeeping, 3(16) administration, and per-participant fees.</t>
        </is>
      </c>
    </row>
    <row r="19">
      <c r="A19" t="inlineStr">
        <is>
          <t xml:space="preserve">   It does not include the setup fee installments, which are separate and one-time.</t>
        </is>
      </c>
    </row>
    <row r="20">
      <c r="A20" t="inlineStr">
        <is>
          <t xml:space="preserve">   Outstanding setup balances, from the Paychex retirement billing statements:</t>
        </is>
      </c>
    </row>
    <row r="21">
      <c r="A21" t="inlineStr">
        <is>
          <t xml:space="preserve">        Walters Mirrors        2,749.07 remaining of 2,999.00</t>
        </is>
      </c>
    </row>
    <row r="22">
      <c r="A22" t="inlineStr">
        <is>
          <t xml:space="preserve">        Onchain Strategies     3,887.91 remaining of 3,999.00</t>
        </is>
      </c>
    </row>
    <row r="23">
      <c r="A23" t="inlineStr">
        <is>
          <t xml:space="preserve">        Spencer Thwaytes       3,999.00 remaining of 3,999.00, nothing collected yet</t>
        </is>
      </c>
    </row>
    <row r="25">
      <c r="A25" s="15" t="inlineStr">
        <is>
          <t>STILL NO INVOICE</t>
        </is>
      </c>
    </row>
    <row r="26">
      <c r="A26" t="inlineStr">
        <is>
          <t xml:space="preserve">   Upstate Logistics, Tyree Advisory, Kranz Motorcars, RJC Holdings. Those four rows are still the original figures.</t>
        </is>
      </c>
    </row>
    <row r="28">
      <c r="A28" s="15" t="inlineStr">
        <is>
          <t>ON THE MULTIPLIER ROW</t>
        </is>
      </c>
    </row>
    <row r="29">
      <c r="A29" t="inlineStr">
        <is>
          <t xml:space="preserve">   That row applies 2x to every client on the sheet. This sheet holds current-provider pricing across Paychex, Gusto,</t>
        </is>
      </c>
    </row>
    <row r="30">
      <c r="A30" t="inlineStr">
        <is>
          <t xml:space="preserve">   IRS-direct and brand-new clients, and none of it is an ADP price. It is not a payout figure.</t>
        </is>
      </c>
    </row>
    <row r="32">
      <c r="A32" s="15" t="inlineStr">
        <is>
          <t>401(K) COMP AND PAYROLL COMP — columns U and V</t>
        </is>
      </c>
    </row>
    <row r="33">
      <c r="A33" t="inlineStr">
        <is>
          <t xml:space="preserve">   401(k) comp is 750 per Paychex conversion and 300 per new plan.</t>
        </is>
      </c>
    </row>
    <row r="34">
      <c r="A34" t="inlineStr">
        <is>
          <t xml:space="preserve">        Conversions, 750 each: Onchain Strategies, Walters Mirrors, Spencer Thwaytes.</t>
        </is>
      </c>
    </row>
    <row r="35">
      <c r="A35" t="inlineStr">
        <is>
          <t xml:space="preserve">        New plans, 300 each: B333, AJG, Complete Merchant, FRG, Kapstone, Broadway 2000, North Star.</t>
        </is>
      </c>
    </row>
    <row r="36">
      <c r="A36" t="inlineStr">
        <is>
          <t xml:space="preserve">        Total 4,350.</t>
        </is>
      </c>
    </row>
    <row r="37">
      <c r="A37" t="inlineStr">
        <is>
          <t xml:space="preserve">   Payroll comp column marks the new clients as a one-time payment rather than the 2x conversion multiple.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2026-09-24T19:49:19Z</dcterms:modified>
  <cp:lastModifiedBy>Stephen Scialo</cp:lastModifiedBy>
</cp:coreProperties>
</file>