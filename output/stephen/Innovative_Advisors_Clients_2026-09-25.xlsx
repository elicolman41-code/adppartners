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</font>
    <font>
      <b val="1"/>
      <sz val="12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4" customWidth="1" min="4" max="4"/>
    <col width="11" customWidth="1" min="5" max="5"/>
    <col width="15" customWidth="1" min="6" max="6"/>
    <col width="13" customWidth="1" min="7" max="7"/>
    <col width="18" customWidth="1" min="8" max="8"/>
    <col width="16" customWidth="1" min="9" max="9"/>
  </cols>
  <sheetData>
    <row r="1" ht="26" customHeight="1">
      <c r="A1" s="1" t="inlineStr">
        <is>
          <t>INNOVATIVE ADVISORS — PAYROLL CLIENTS</t>
        </is>
      </c>
    </row>
    <row r="3" ht="32" customHeight="1">
      <c r="A3" s="2" t="inlineStr">
        <is>
          <t>#</t>
        </is>
      </c>
      <c r="B3" s="2" t="inlineStr">
        <is>
          <t>Owner</t>
        </is>
      </c>
      <c r="C3" s="2" t="inlineStr">
        <is>
          <t>Client Legal Name</t>
        </is>
      </c>
      <c r="D3" s="2" t="inlineStr">
        <is>
          <t>Tax ID</t>
        </is>
      </c>
      <c r="E3" s="2" t="inlineStr">
        <is>
          <t>Employees</t>
        </is>
      </c>
      <c r="F3" s="2" t="inlineStr">
        <is>
          <t>Frequency</t>
        </is>
      </c>
      <c r="G3" s="2" t="inlineStr">
        <is>
          <t>Runs per year</t>
        </is>
      </c>
      <c r="H3" s="2" t="inlineStr">
        <is>
          <t>Estimated fee per run</t>
        </is>
      </c>
      <c r="I3" s="2" t="inlineStr">
        <is>
          <t>Estimated annual</t>
        </is>
      </c>
    </row>
    <row r="4">
      <c r="A4" s="3" t="n">
        <v>1</v>
      </c>
      <c r="B4" s="3" t="inlineStr">
        <is>
          <t>Robert Tupe</t>
        </is>
      </c>
      <c r="C4" s="4" t="inlineStr">
        <is>
          <t>Upstate Logistics Group LLC</t>
        </is>
      </c>
      <c r="D4" s="3" t="inlineStr">
        <is>
          <t>33-4154077</t>
        </is>
      </c>
      <c r="E4" s="3" t="n">
        <v>3</v>
      </c>
      <c r="F4" s="3" t="inlineStr">
        <is>
          <t>Biweekly</t>
        </is>
      </c>
      <c r="G4" s="3" t="n">
        <v>26</v>
      </c>
      <c r="H4" s="5" t="n">
        <v>78.56999999999999</v>
      </c>
      <c r="I4" s="5">
        <f>G4*H4</f>
        <v/>
      </c>
    </row>
    <row r="5">
      <c r="A5" s="3" t="n">
        <v>2</v>
      </c>
      <c r="B5" s="3" t="inlineStr">
        <is>
          <t>Ty Tyree</t>
        </is>
      </c>
      <c r="C5" s="4" t="inlineStr">
        <is>
          <t>Tyree Advisory Group LLC</t>
        </is>
      </c>
      <c r="D5" s="3" t="inlineStr">
        <is>
          <t>42-1951214</t>
        </is>
      </c>
      <c r="E5" s="3" t="n">
        <v>1</v>
      </c>
      <c r="F5" s="3" t="inlineStr">
        <is>
          <t>Monthly</t>
        </is>
      </c>
      <c r="G5" s="3" t="n">
        <v>12</v>
      </c>
      <c r="H5" s="5" t="n">
        <v>71.92</v>
      </c>
      <c r="I5" s="5">
        <f>G5*H5</f>
        <v/>
      </c>
    </row>
    <row r="6">
      <c r="A6" s="3" t="n">
        <v>3</v>
      </c>
      <c r="B6" s="3" t="inlineStr">
        <is>
          <t>Ricardo De'Carvalho</t>
        </is>
      </c>
      <c r="C6" s="4" t="inlineStr">
        <is>
          <t>RJC Holdings</t>
        </is>
      </c>
      <c r="D6" s="3" t="inlineStr">
        <is>
          <t>86-2385686</t>
        </is>
      </c>
      <c r="E6" s="3" t="n">
        <v>1</v>
      </c>
      <c r="F6" s="3" t="inlineStr">
        <is>
          <t>Monthly</t>
        </is>
      </c>
      <c r="G6" s="3" t="n">
        <v>12</v>
      </c>
      <c r="H6" s="5" t="n">
        <v>58</v>
      </c>
      <c r="I6" s="5">
        <f>G6*H6</f>
        <v/>
      </c>
    </row>
    <row r="7">
      <c r="A7" s="3" t="n">
        <v>4</v>
      </c>
      <c r="B7" s="3" t="inlineStr">
        <is>
          <t>Heather Kranz</t>
        </is>
      </c>
      <c r="C7" s="4" t="inlineStr">
        <is>
          <t>Kranz Motorcars LLC</t>
        </is>
      </c>
      <c r="D7" s="3" t="inlineStr">
        <is>
          <t>39-2155930</t>
        </is>
      </c>
      <c r="E7" s="3" t="n">
        <v>1</v>
      </c>
      <c r="F7" s="3" t="inlineStr">
        <is>
          <t>Weekly</t>
        </is>
      </c>
      <c r="G7" s="3" t="n">
        <v>52</v>
      </c>
      <c r="H7" s="5" t="n">
        <v>59.5</v>
      </c>
      <c r="I7" s="5">
        <f>G7*H7</f>
        <v/>
      </c>
    </row>
    <row r="8">
      <c r="A8" s="6" t="n">
        <v>5</v>
      </c>
      <c r="B8" s="6" t="inlineStr">
        <is>
          <t>Robert Shaul</t>
        </is>
      </c>
      <c r="C8" s="6" t="inlineStr">
        <is>
          <t>Wisdom by Woods LLC</t>
        </is>
      </c>
      <c r="D8" s="6" t="inlineStr">
        <is>
          <t>93-3723791</t>
        </is>
      </c>
      <c r="E8" s="6" t="n">
        <v>1</v>
      </c>
      <c r="F8" s="6" t="inlineStr">
        <is>
          <t>Monthly</t>
        </is>
      </c>
      <c r="G8" s="6" t="n">
        <v>12</v>
      </c>
      <c r="H8" s="7" t="n">
        <v>129.78</v>
      </c>
      <c r="I8" s="7">
        <f>G8*H8</f>
        <v/>
      </c>
    </row>
    <row r="9">
      <c r="A9" s="6" t="n">
        <v>6</v>
      </c>
      <c r="B9" s="6" t="inlineStr">
        <is>
          <t>Hani Amiri Manesh</t>
        </is>
      </c>
      <c r="C9" s="6" t="inlineStr">
        <is>
          <t>Auction Time Pieces</t>
        </is>
      </c>
      <c r="D9" s="6" t="inlineStr">
        <is>
          <t>42-2190303</t>
        </is>
      </c>
      <c r="E9" s="6" t="n">
        <v>2</v>
      </c>
      <c r="F9" s="6" t="inlineStr">
        <is>
          <t>Semi Monthly</t>
        </is>
      </c>
      <c r="G9" s="6" t="n">
        <v>24</v>
      </c>
      <c r="H9" s="7" t="n">
        <v>154.1</v>
      </c>
      <c r="I9" s="7">
        <f>G9*H9</f>
        <v/>
      </c>
    </row>
    <row r="10">
      <c r="A10" s="6" t="n">
        <v>7</v>
      </c>
      <c r="B10" s="6" t="inlineStr">
        <is>
          <t>Robert Watson</t>
        </is>
      </c>
      <c r="C10" s="6" t="inlineStr">
        <is>
          <t>Onchain Strategies LLC</t>
        </is>
      </c>
      <c r="D10" s="6" t="inlineStr">
        <is>
          <t>33-3282413</t>
        </is>
      </c>
      <c r="E10" s="6" t="n">
        <v>1</v>
      </c>
      <c r="F10" s="6" t="inlineStr">
        <is>
          <t>Monthly</t>
        </is>
      </c>
      <c r="G10" s="6" t="n">
        <v>12</v>
      </c>
      <c r="H10" s="7" t="n">
        <v>101</v>
      </c>
      <c r="I10" s="7">
        <f>G10*H10</f>
        <v/>
      </c>
    </row>
    <row r="11">
      <c r="A11" s="6" t="n">
        <v>8</v>
      </c>
      <c r="B11" s="6" t="inlineStr">
        <is>
          <t>Dave Truscello</t>
        </is>
      </c>
      <c r="C11" s="6" t="inlineStr">
        <is>
          <t>Backfin Logistics LLC</t>
        </is>
      </c>
      <c r="D11" s="6" t="inlineStr">
        <is>
          <t>33-4371485</t>
        </is>
      </c>
      <c r="E11" s="6" t="n">
        <v>3</v>
      </c>
      <c r="F11" s="6" t="inlineStr">
        <is>
          <t>Semi Monthly</t>
        </is>
      </c>
      <c r="G11" s="6" t="n">
        <v>24</v>
      </c>
      <c r="H11" s="7" t="n">
        <v>98.5</v>
      </c>
      <c r="I11" s="7">
        <f>G11*H11</f>
        <v/>
      </c>
    </row>
    <row r="12">
      <c r="A12" s="6" t="n">
        <v>9</v>
      </c>
      <c r="B12" s="6" t="inlineStr">
        <is>
          <t>Niccolo Russino</t>
        </is>
      </c>
      <c r="C12" s="6" t="inlineStr">
        <is>
          <t>Walters Mirrors Inc</t>
        </is>
      </c>
      <c r="D12" s="6" t="inlineStr">
        <is>
          <t>33-3877704</t>
        </is>
      </c>
      <c r="E12" s="6" t="n">
        <v>3</v>
      </c>
      <c r="F12" s="6" t="inlineStr">
        <is>
          <t>Biweekly</t>
        </is>
      </c>
      <c r="G12" s="6" t="n">
        <v>26</v>
      </c>
      <c r="H12" s="7" t="n">
        <v>261.95</v>
      </c>
      <c r="I12" s="7">
        <f>G12*H12</f>
        <v/>
      </c>
    </row>
    <row r="13">
      <c r="A13" s="6" t="n">
        <v>10</v>
      </c>
      <c r="B13" s="6" t="inlineStr">
        <is>
          <t>Spencer Thwaytes</t>
        </is>
      </c>
      <c r="C13" s="6" t="inlineStr">
        <is>
          <t>Spencer Thwaytes &amp; Co LLC</t>
        </is>
      </c>
      <c r="D13" s="6" t="inlineStr">
        <is>
          <t>93-1357097</t>
        </is>
      </c>
      <c r="E13" s="6" t="n">
        <v>3</v>
      </c>
      <c r="F13" s="6" t="inlineStr">
        <is>
          <t>Monthly</t>
        </is>
      </c>
      <c r="G13" s="6" t="n">
        <v>12</v>
      </c>
      <c r="H13" s="7" t="n">
        <v>77</v>
      </c>
      <c r="I13" s="7">
        <f>G13*H13</f>
        <v/>
      </c>
    </row>
    <row r="14">
      <c r="A14" s="6" t="n">
        <v>11</v>
      </c>
      <c r="B14" s="6" t="inlineStr">
        <is>
          <t>Richard Zamilpa</t>
        </is>
      </c>
      <c r="C14" s="6" t="inlineStr">
        <is>
          <t>Complete Merchant Services Consulting</t>
        </is>
      </c>
      <c r="D14" s="6" t="inlineStr">
        <is>
          <t>99-4630525</t>
        </is>
      </c>
      <c r="E14" s="6" t="n">
        <v>2</v>
      </c>
      <c r="F14" s="6" t="inlineStr">
        <is>
          <t>Monthly</t>
        </is>
      </c>
      <c r="G14" s="6" t="n">
        <v>12</v>
      </c>
      <c r="H14" s="7" t="n">
        <v>100</v>
      </c>
      <c r="I14" s="7">
        <f>G14*H14</f>
        <v/>
      </c>
    </row>
    <row r="15">
      <c r="A15" s="6" t="n">
        <v>12</v>
      </c>
      <c r="B15" s="6" t="inlineStr">
        <is>
          <t>Frank Giordano</t>
        </is>
      </c>
      <c r="C15" s="6" t="inlineStr">
        <is>
          <t>FRG Advisory, LLC</t>
        </is>
      </c>
      <c r="D15" s="6" t="inlineStr">
        <is>
          <t>40-0020506</t>
        </is>
      </c>
      <c r="E15" s="6" t="n">
        <v>1</v>
      </c>
      <c r="F15" s="6" t="inlineStr">
        <is>
          <t>Monthly</t>
        </is>
      </c>
      <c r="G15" s="6" t="n">
        <v>12</v>
      </c>
      <c r="H15" s="7" t="n">
        <v>50</v>
      </c>
      <c r="I15" s="7">
        <f>G15*H15</f>
        <v/>
      </c>
    </row>
    <row r="16">
      <c r="A16" s="6" t="n">
        <v>13</v>
      </c>
      <c r="B16" s="6" t="inlineStr">
        <is>
          <t>Benjamin Solomon</t>
        </is>
      </c>
      <c r="C16" s="6" t="inlineStr">
        <is>
          <t>Broadway 2000, Inc</t>
        </is>
      </c>
      <c r="D16" s="6" t="inlineStr">
        <is>
          <t>85-3662838</t>
        </is>
      </c>
      <c r="E16" s="6" t="n">
        <v>1</v>
      </c>
      <c r="F16" s="6" t="inlineStr">
        <is>
          <t>Yearly</t>
        </is>
      </c>
      <c r="G16" s="6" t="n">
        <v>1</v>
      </c>
      <c r="H16" s="7" t="n">
        <v>400</v>
      </c>
      <c r="I16" s="7">
        <f>G16*H16</f>
        <v/>
      </c>
    </row>
    <row r="17">
      <c r="A17" s="3" t="n"/>
      <c r="B17" s="3" t="n"/>
      <c r="C17" s="4" t="inlineStr">
        <is>
          <t>TOTAL</t>
        </is>
      </c>
      <c r="D17" s="3" t="n"/>
      <c r="E17" s="3" t="n"/>
      <c r="F17" s="3" t="n"/>
      <c r="G17" s="3" t="n"/>
      <c r="H17" s="3" t="n"/>
      <c r="I17" s="8">
        <f>SUM(I4:I16)</f>
        <v/>
      </c>
    </row>
    <row r="19">
      <c r="A19" s="9" t="inlineStr">
        <is>
          <t>Shaded rows are estimates. Pricing on these four has moved around and was never confirmed.</t>
        </is>
      </c>
    </row>
    <row r="20">
      <c r="A20" s="9" t="inlineStr">
        <is>
          <t>Upstate Logistics  ·  Tyree Advisory  ·  RJC Holdings  ·  Kranz Motorcars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2026-09-25T15:03:45Z</dcterms:created>
  <dcterms:modified xsi:type="dcterms:W3CDTF">2026-09-25T15:03:45Z</dcterms:modified>
</cp:coreProperties>
</file>