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Payroll Packag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  <font>
      <b val="1"/>
      <sz val="12"/>
    </font>
    <font>
      <b val="1"/>
      <color rgb="00FFFFFF"/>
      <sz val="13"/>
    </font>
    <font>
      <i val="1"/>
      <sz val="10"/>
    </font>
  </fonts>
  <fills count="7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C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44" fontId="1" fillId="0" borderId="0"/>
    <xf numFmtId="0" fontId="2" fillId="0" borderId="0"/>
  </cellStyleXfs>
  <cellXfs count="51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7" fillId="0" borderId="0" pivotButton="0" quotePrefix="0" xfId="0"/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 vertical="top"/>
      <protection locked="0" hidden="0"/>
    </xf>
    <xf numFmtId="0" fontId="5" fillId="3" borderId="1" applyAlignment="1" applyProtection="1" pivotButton="0" quotePrefix="0" xfId="2">
      <alignment horizontal="center"/>
      <protection locked="0" hidden="0"/>
    </xf>
    <xf numFmtId="166" fontId="4" fillId="3" borderId="1" applyAlignment="1" applyProtection="1" pivotButton="0" quotePrefix="0" xfId="1">
      <alignment horizontal="right"/>
      <protection locked="0" hidden="0"/>
    </xf>
    <xf numFmtId="164" fontId="4" fillId="3" borderId="1" applyAlignment="1" applyProtection="1" pivotButton="0" quotePrefix="0" xfId="1">
      <alignment horizontal="right"/>
      <protection locked="0" hidden="0"/>
    </xf>
    <xf numFmtId="165" fontId="5" fillId="3" borderId="1" applyAlignment="1" applyProtection="1" pivotButton="0" quotePrefix="0" xfId="1">
      <alignment horizontal="center"/>
      <protection locked="0" hidden="0"/>
    </xf>
    <xf numFmtId="166" fontId="4" fillId="3" borderId="1" applyProtection="1" pivotButton="0" quotePrefix="0" xfId="1">
      <protection locked="0" hidden="0"/>
    </xf>
    <xf numFmtId="0" fontId="7" fillId="3" borderId="0" pivotButton="0" quotePrefix="0" xfId="0"/>
    <xf numFmtId="166" fontId="0" fillId="3" borderId="0" pivotButton="0" quotePrefix="0" xfId="0"/>
    <xf numFmtId="0" fontId="0" fillId="3" borderId="0" pivotButton="0" quotePrefix="0" xfId="0"/>
    <xf numFmtId="166" fontId="4" fillId="4" borderId="1" applyAlignment="1" applyProtection="1" pivotButton="0" quotePrefix="0" xfId="1">
      <alignment horizontal="right"/>
      <protection locked="0" hidden="0"/>
    </xf>
    <xf numFmtId="166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166" fontId="0" fillId="4" borderId="0" pivotButton="0" quotePrefix="0" xfId="0"/>
    <xf numFmtId="166" fontId="0" fillId="0" borderId="0" pivotButton="0" quotePrefix="0" xfId="0"/>
    <xf numFmtId="165" fontId="4" fillId="0" borderId="1" applyAlignment="1" applyProtection="1" pivotButton="0" quotePrefix="0" xfId="1">
      <alignment horizontal="right"/>
      <protection locked="0" hidden="0"/>
    </xf>
    <xf numFmtId="0" fontId="4" fillId="5" borderId="1" applyAlignment="1" applyProtection="1" pivotButton="0" quotePrefix="0" xfId="0">
      <alignment horizontal="center"/>
      <protection locked="0" hidden="0"/>
    </xf>
    <xf numFmtId="0" fontId="8" fillId="5" borderId="1" applyAlignment="1" applyProtection="1" pivotButton="0" quotePrefix="0" xfId="0">
      <alignment horizontal="left"/>
      <protection locked="0" hidden="0"/>
    </xf>
    <xf numFmtId="0" fontId="4" fillId="5" borderId="1" applyAlignment="1" applyProtection="1" pivotButton="0" quotePrefix="0" xfId="0">
      <alignment horizontal="left"/>
      <protection locked="0" hidden="0"/>
    </xf>
    <xf numFmtId="0" fontId="4" fillId="5" borderId="1" applyAlignment="1" applyProtection="1" pivotButton="0" quotePrefix="0" xfId="0">
      <alignment horizontal="center" vertical="top"/>
      <protection locked="0" hidden="0"/>
    </xf>
    <xf numFmtId="0" fontId="5" fillId="5" borderId="1" applyAlignment="1" applyProtection="1" pivotButton="0" quotePrefix="0" xfId="2">
      <alignment horizontal="center"/>
      <protection locked="0" hidden="0"/>
    </xf>
    <xf numFmtId="165" fontId="4" fillId="5" borderId="1" applyAlignment="1" applyProtection="1" pivotButton="0" quotePrefix="0" xfId="1">
      <alignment horizontal="right"/>
      <protection locked="0" hidden="0"/>
    </xf>
    <xf numFmtId="164" fontId="4" fillId="5" borderId="1" applyAlignment="1" applyProtection="1" pivotButton="0" quotePrefix="0" xfId="1">
      <alignment horizontal="right"/>
      <protection locked="0" hidden="0"/>
    </xf>
    <xf numFmtId="164" fontId="4" fillId="5" borderId="1" applyProtection="1" pivotButton="0" quotePrefix="0" xfId="1">
      <protection locked="0" hidden="0"/>
    </xf>
    <xf numFmtId="0" fontId="0" fillId="5" borderId="0" pivotButton="0" quotePrefix="0" xfId="0"/>
    <xf numFmtId="165" fontId="7" fillId="0" borderId="1" applyAlignment="1" applyProtection="1" pivotButton="0" quotePrefix="0" xfId="1">
      <alignment horizontal="right"/>
      <protection locked="0" hidden="0"/>
    </xf>
    <xf numFmtId="166" fontId="7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9" fillId="6" borderId="0" pivotButton="0" quotePrefix="0" xfId="0"/>
    <xf numFmtId="0" fontId="10" fillId="0" borderId="0" pivotButton="0" quotePrefix="0" xfId="0"/>
    <xf numFmtId="0" fontId="7" fillId="5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T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  <col width="26" customWidth="1" min="18" max="18"/>
    <col width="15" customWidth="1" min="19" max="19"/>
    <col width="14" customWidth="1" min="20" max="20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  <c r="R2" s="15" t="inlineStr">
        <is>
          <t>Payroll Package</t>
        </is>
      </c>
      <c r="S2" s="15" t="inlineStr">
        <is>
          <t>ADP list per run</t>
        </is>
      </c>
      <c r="T2" s="15" t="inlineStr">
        <is>
          <t>Invoice on file</t>
        </is>
      </c>
    </row>
    <row r="3">
      <c r="A3" s="16" t="n">
        <v>1</v>
      </c>
      <c r="B3" s="17" t="inlineStr">
        <is>
          <t>Robert</t>
        </is>
      </c>
      <c r="C3" s="17" t="inlineStr">
        <is>
          <t>Tupe</t>
        </is>
      </c>
      <c r="D3" s="16" t="inlineStr">
        <is>
          <t>Existing</t>
        </is>
      </c>
      <c r="E3" s="17" t="inlineStr">
        <is>
          <t>Upstate Logistics Group LLC</t>
        </is>
      </c>
      <c r="F3" s="17" t="inlineStr">
        <is>
          <t>33-4154077</t>
        </is>
      </c>
      <c r="G3" s="17" t="inlineStr">
        <is>
          <t>2107 Goldfinch Blvd</t>
        </is>
      </c>
      <c r="H3" s="17" t="inlineStr">
        <is>
          <t>Princeton, NJ 08540</t>
        </is>
      </c>
      <c r="I3" s="18" t="n">
        <v>3</v>
      </c>
      <c r="J3" s="18" t="inlineStr">
        <is>
          <t>Biweekly</t>
        </is>
      </c>
      <c r="K3" s="19" t="n">
        <v>26</v>
      </c>
      <c r="L3" s="20" t="n">
        <v>78.56999999999999</v>
      </c>
      <c r="M3" s="20">
        <f>K3*L3</f>
        <v/>
      </c>
      <c r="N3" s="21" t="n"/>
      <c r="O3" s="22" t="n"/>
      <c r="P3" s="22" t="n"/>
      <c r="Q3" s="23">
        <f>M3</f>
        <v/>
      </c>
      <c r="R3" s="24" t="inlineStr">
        <is>
          <t>ADP Enhanced Payroll</t>
        </is>
      </c>
      <c r="S3" s="25" t="n">
        <v>100.15</v>
      </c>
      <c r="T3" s="26" t="inlineStr">
        <is>
          <t>No</t>
        </is>
      </c>
    </row>
    <row r="4">
      <c r="A4" s="16" t="n">
        <v>2</v>
      </c>
      <c r="B4" s="17" t="inlineStr">
        <is>
          <t>Ty</t>
        </is>
      </c>
      <c r="C4" s="17" t="inlineStr">
        <is>
          <t>Tyree</t>
        </is>
      </c>
      <c r="D4" s="16" t="inlineStr">
        <is>
          <t>Existing</t>
        </is>
      </c>
      <c r="E4" s="17" t="inlineStr">
        <is>
          <t>Tyree Advisory Group LLC</t>
        </is>
      </c>
      <c r="F4" s="17" t="inlineStr">
        <is>
          <t>42-1951214</t>
        </is>
      </c>
      <c r="G4" s="17" t="inlineStr">
        <is>
          <t>106 W Dorothys Way</t>
        </is>
      </c>
      <c r="H4" s="17" t="inlineStr">
        <is>
          <t>Lincoln University, PA 19352</t>
        </is>
      </c>
      <c r="I4" s="18" t="n">
        <v>1</v>
      </c>
      <c r="J4" s="18" t="inlineStr">
        <is>
          <t>Monthly</t>
        </is>
      </c>
      <c r="K4" s="19" t="n">
        <v>12</v>
      </c>
      <c r="L4" s="20" t="n">
        <v>71.92</v>
      </c>
      <c r="M4" s="20">
        <f>K4*L4</f>
        <v/>
      </c>
      <c r="N4" s="21" t="n"/>
      <c r="O4" s="22" t="n"/>
      <c r="P4" s="22" t="n"/>
      <c r="Q4" s="23">
        <f>M4</f>
        <v/>
      </c>
      <c r="R4" s="24" t="inlineStr">
        <is>
          <t>ADP Enhanced Payroll</t>
        </is>
      </c>
      <c r="S4" s="25" t="n">
        <v>125.95</v>
      </c>
      <c r="T4" s="26" t="inlineStr">
        <is>
          <t>No</t>
        </is>
      </c>
    </row>
    <row r="5">
      <c r="A5" s="16" t="n">
        <v>3</v>
      </c>
      <c r="B5" s="17" t="inlineStr">
        <is>
          <t xml:space="preserve">Ricardo </t>
        </is>
      </c>
      <c r="C5" s="17" t="inlineStr">
        <is>
          <t>De'Carvalho</t>
        </is>
      </c>
      <c r="D5" s="16" t="inlineStr">
        <is>
          <t>Existing</t>
        </is>
      </c>
      <c r="E5" s="17" t="inlineStr">
        <is>
          <t>RJC Holdings</t>
        </is>
      </c>
      <c r="F5" s="17" t="inlineStr">
        <is>
          <t>86-2385686</t>
        </is>
      </c>
      <c r="G5" s="17" t="inlineStr">
        <is>
          <t>6278 North Federal Highway</t>
        </is>
      </c>
      <c r="H5" s="17" t="inlineStr">
        <is>
          <t>Fort Lauderdale, FL 33308</t>
        </is>
      </c>
      <c r="I5" s="18" t="n">
        <v>1</v>
      </c>
      <c r="J5" s="18" t="inlineStr">
        <is>
          <t>Monthly</t>
        </is>
      </c>
      <c r="K5" s="19" t="n">
        <v>12</v>
      </c>
      <c r="L5" s="20" t="n">
        <v>58</v>
      </c>
      <c r="M5" s="20">
        <f>K5*L5</f>
        <v/>
      </c>
      <c r="N5" s="21" t="n"/>
      <c r="O5" s="22" t="n"/>
      <c r="P5" s="22" t="n"/>
      <c r="Q5" s="23">
        <f>M5</f>
        <v/>
      </c>
      <c r="R5" s="24" t="inlineStr">
        <is>
          <t>ADP Enhanced Payroll</t>
        </is>
      </c>
      <c r="S5" s="25" t="n">
        <v>125.95</v>
      </c>
      <c r="T5" s="26" t="inlineStr">
        <is>
          <t>No</t>
        </is>
      </c>
    </row>
    <row r="6">
      <c r="A6" s="16" t="n">
        <v>4</v>
      </c>
      <c r="B6" s="17" t="inlineStr">
        <is>
          <t>Heather</t>
        </is>
      </c>
      <c r="C6" s="17" t="inlineStr">
        <is>
          <t>Kranz</t>
        </is>
      </c>
      <c r="D6" s="16" t="inlineStr">
        <is>
          <t>Existing</t>
        </is>
      </c>
      <c r="E6" s="17" t="inlineStr">
        <is>
          <t>Kranz Motorcars LLC</t>
        </is>
      </c>
      <c r="F6" s="17" t="inlineStr">
        <is>
          <t>39-2155930</t>
        </is>
      </c>
      <c r="G6" s="17" t="inlineStr">
        <is>
          <t>432 S Walnut St</t>
        </is>
      </c>
      <c r="H6" s="17" t="inlineStr">
        <is>
          <t>Kennett Square, PA 19348</t>
        </is>
      </c>
      <c r="I6" s="18" t="n">
        <v>1</v>
      </c>
      <c r="J6" s="18" t="inlineStr">
        <is>
          <t>Weekly</t>
        </is>
      </c>
      <c r="K6" s="19" t="n">
        <v>52</v>
      </c>
      <c r="L6" s="20" t="n">
        <v>59.5</v>
      </c>
      <c r="M6" s="20">
        <f>K6*L6</f>
        <v/>
      </c>
      <c r="N6" s="21" t="n"/>
      <c r="O6" s="22" t="n"/>
      <c r="P6" s="22" t="n"/>
      <c r="Q6" s="23">
        <f>M6</f>
        <v/>
      </c>
      <c r="R6" s="24" t="inlineStr">
        <is>
          <t>ADP Enhanced Payroll</t>
        </is>
      </c>
      <c r="S6" s="25" t="n">
        <v>64.5</v>
      </c>
      <c r="T6" s="26" t="inlineStr">
        <is>
          <t>No</t>
        </is>
      </c>
    </row>
    <row r="7">
      <c r="A7" s="1" t="n">
        <v>5</v>
      </c>
      <c r="B7" s="2" t="inlineStr">
        <is>
          <t xml:space="preserve">Robert </t>
        </is>
      </c>
      <c r="C7" s="2" t="inlineStr">
        <is>
          <t>Shaul</t>
        </is>
      </c>
      <c r="D7" s="1" t="inlineStr">
        <is>
          <t>Existing</t>
        </is>
      </c>
      <c r="E7" s="2" t="inlineStr">
        <is>
          <t>Wisdom by Woods LLC</t>
        </is>
      </c>
      <c r="F7" s="2" t="inlineStr">
        <is>
          <t>93-3723791</t>
        </is>
      </c>
      <c r="G7" s="2" t="inlineStr">
        <is>
          <t>5320 Blue Reed Lane</t>
        </is>
      </c>
      <c r="H7" s="2" t="inlineStr">
        <is>
          <t>Lake Worth, FL 33467</t>
        </is>
      </c>
      <c r="I7" s="3" t="n">
        <v>1</v>
      </c>
      <c r="J7" s="3" t="inlineStr">
        <is>
          <t>Monthly</t>
        </is>
      </c>
      <c r="K7" s="4" t="n">
        <v>12</v>
      </c>
      <c r="L7" s="28" t="n">
        <v>129.78</v>
      </c>
      <c r="M7" s="28">
        <f>K7*L7</f>
        <v/>
      </c>
      <c r="N7" s="6" t="n"/>
      <c r="O7" s="29" t="n"/>
      <c r="P7" s="29" t="n"/>
      <c r="Q7" s="30">
        <f>M7</f>
        <v/>
      </c>
      <c r="R7" s="15" t="inlineStr">
        <is>
          <t>ADP Complete Payroll and HR Plus</t>
        </is>
      </c>
      <c r="S7" s="32" t="n">
        <v>258.95</v>
      </c>
      <c r="T7" t="inlineStr">
        <is>
          <t>Yes</t>
        </is>
      </c>
    </row>
    <row r="8">
      <c r="A8" s="1" t="n">
        <v>6</v>
      </c>
      <c r="B8" s="2" t="inlineStr">
        <is>
          <t>Hani</t>
        </is>
      </c>
      <c r="C8" s="2" t="inlineStr">
        <is>
          <t>Amiri Manesh</t>
        </is>
      </c>
      <c r="D8" s="1" t="inlineStr">
        <is>
          <t>Existing</t>
        </is>
      </c>
      <c r="E8" s="2" t="inlineStr">
        <is>
          <t>Auction Time Pieces</t>
        </is>
      </c>
      <c r="F8" s="2" t="inlineStr">
        <is>
          <t>42-2190303</t>
        </is>
      </c>
      <c r="G8" s="2" t="inlineStr">
        <is>
          <t>24324 Walnut Steeer Suite B</t>
        </is>
      </c>
      <c r="H8" s="2" t="inlineStr">
        <is>
          <t>Newhall, CA 91321</t>
        </is>
      </c>
      <c r="I8" s="3" t="n">
        <v>2</v>
      </c>
      <c r="J8" s="3" t="inlineStr">
        <is>
          <t>Semi Monthly</t>
        </is>
      </c>
      <c r="K8" s="4" t="n">
        <v>24</v>
      </c>
      <c r="L8" s="28" t="n">
        <v>154.1</v>
      </c>
      <c r="M8" s="28">
        <f>K8*L8</f>
        <v/>
      </c>
      <c r="N8" s="6" t="n"/>
      <c r="O8" s="29" t="n"/>
      <c r="P8" s="29" t="n"/>
      <c r="Q8" s="30">
        <f>M8</f>
        <v/>
      </c>
      <c r="R8" s="15" t="inlineStr">
        <is>
          <t>ADP Complete Payroll and HR Plus</t>
        </is>
      </c>
      <c r="S8" s="32" t="n">
        <v>181.95</v>
      </c>
      <c r="T8" t="inlineStr">
        <is>
          <t>Yes</t>
        </is>
      </c>
    </row>
    <row r="9">
      <c r="A9" s="1" t="n">
        <v>7</v>
      </c>
      <c r="B9" s="2" t="inlineStr">
        <is>
          <t xml:space="preserve">Robert </t>
        </is>
      </c>
      <c r="C9" s="2" t="inlineStr">
        <is>
          <t>Watson</t>
        </is>
      </c>
      <c r="D9" s="1" t="inlineStr">
        <is>
          <t>Existing</t>
        </is>
      </c>
      <c r="E9" s="2" t="inlineStr">
        <is>
          <t>Onchain Strategies LLC</t>
        </is>
      </c>
      <c r="F9" s="2" t="inlineStr">
        <is>
          <t>33-3282413</t>
        </is>
      </c>
      <c r="G9" s="2" t="inlineStr">
        <is>
          <t>655 Pyrite Will St</t>
        </is>
      </c>
      <c r="H9" s="2" t="inlineStr">
        <is>
          <t>Las Vegas, NV 89138</t>
        </is>
      </c>
      <c r="I9" s="3" t="n">
        <v>1</v>
      </c>
      <c r="J9" s="3" t="inlineStr">
        <is>
          <t>Monthly</t>
        </is>
      </c>
      <c r="K9" s="4" t="n">
        <v>12</v>
      </c>
      <c r="L9" s="28" t="n">
        <v>101</v>
      </c>
      <c r="M9" s="28">
        <f>K9*L9</f>
        <v/>
      </c>
      <c r="N9" s="6" t="inlineStr">
        <is>
          <t>Yes</t>
        </is>
      </c>
      <c r="O9" s="29" t="n"/>
      <c r="P9" s="29" t="n"/>
      <c r="Q9" s="30">
        <f>M9</f>
        <v/>
      </c>
      <c r="R9" s="15" t="inlineStr">
        <is>
          <t>ADP Enhanced Payroll</t>
        </is>
      </c>
      <c r="S9" s="32" t="n">
        <v>125.95</v>
      </c>
      <c r="T9" t="inlineStr">
        <is>
          <t>Yes</t>
        </is>
      </c>
    </row>
    <row r="10">
      <c r="A10" s="1" t="n">
        <v>8</v>
      </c>
      <c r="B10" s="2" t="inlineStr">
        <is>
          <t xml:space="preserve">Dave </t>
        </is>
      </c>
      <c r="C10" s="2" t="inlineStr">
        <is>
          <t>Truscello</t>
        </is>
      </c>
      <c r="D10" s="1" t="inlineStr">
        <is>
          <t>Existing</t>
        </is>
      </c>
      <c r="E10" s="2" t="inlineStr">
        <is>
          <t>Backfin Logistics LLC</t>
        </is>
      </c>
      <c r="F10" s="2" t="inlineStr">
        <is>
          <t>33-4371485</t>
        </is>
      </c>
      <c r="G10" s="2" t="inlineStr">
        <is>
          <t>7921 SPRINGWAY RD</t>
        </is>
      </c>
      <c r="H10" s="2" t="inlineStr">
        <is>
          <t>Towson, MD 21204</t>
        </is>
      </c>
      <c r="I10" s="3" t="n">
        <v>3</v>
      </c>
      <c r="J10" s="3" t="inlineStr">
        <is>
          <t>Semi Monthly</t>
        </is>
      </c>
      <c r="K10" s="4" t="n">
        <v>24</v>
      </c>
      <c r="L10" s="28" t="n">
        <v>98.5</v>
      </c>
      <c r="M10" s="28">
        <f>K10*L10</f>
        <v/>
      </c>
      <c r="N10" s="6" t="n"/>
      <c r="O10" s="29" t="n"/>
      <c r="P10" s="29" t="n"/>
      <c r="Q10" s="30">
        <f>M10</f>
        <v/>
      </c>
      <c r="R10" s="15" t="inlineStr">
        <is>
          <t>ADP Enhanced Payroll</t>
        </is>
      </c>
      <c r="S10" s="32" t="n">
        <v>106.55</v>
      </c>
      <c r="T10" t="inlineStr">
        <is>
          <t>Yes</t>
        </is>
      </c>
    </row>
    <row r="11">
      <c r="A11" s="1" t="n">
        <v>9</v>
      </c>
      <c r="B11" s="2" t="inlineStr">
        <is>
          <t>Niccolo</t>
        </is>
      </c>
      <c r="C11" s="2" t="inlineStr">
        <is>
          <t>Russino</t>
        </is>
      </c>
      <c r="D11" s="1" t="inlineStr">
        <is>
          <t>Existing</t>
        </is>
      </c>
      <c r="E11" s="2" t="inlineStr">
        <is>
          <t>Walters Mirrors Inc</t>
        </is>
      </c>
      <c r="F11" s="2" t="inlineStr">
        <is>
          <t>33-3877704</t>
        </is>
      </c>
      <c r="G11" s="2" t="inlineStr">
        <is>
          <t>1625 Cody, Ave</t>
        </is>
      </c>
      <c r="H11" s="2" t="inlineStr">
        <is>
          <t>Ridgewood, NY 11385-5733</t>
        </is>
      </c>
      <c r="I11" s="3" t="n">
        <v>3</v>
      </c>
      <c r="J11" s="3" t="inlineStr">
        <is>
          <t>Biweekly</t>
        </is>
      </c>
      <c r="K11" s="4" t="n">
        <v>26</v>
      </c>
      <c r="L11" s="28" t="n">
        <v>261.95</v>
      </c>
      <c r="M11" s="28">
        <f>K11*L11</f>
        <v/>
      </c>
      <c r="N11" s="6" t="inlineStr">
        <is>
          <t>Yes</t>
        </is>
      </c>
      <c r="O11" s="29" t="n"/>
      <c r="P11" s="29" t="n"/>
      <c r="Q11" s="30">
        <f>M11</f>
        <v/>
      </c>
      <c r="R11" s="15" t="inlineStr">
        <is>
          <t>ADP HR Pro</t>
        </is>
      </c>
      <c r="S11" s="32" t="n">
        <v>261.95</v>
      </c>
      <c r="T11" t="inlineStr">
        <is>
          <t>Yes</t>
        </is>
      </c>
    </row>
    <row r="12">
      <c r="A12" s="1" t="n">
        <v>10</v>
      </c>
      <c r="B12" s="2" t="inlineStr">
        <is>
          <t>Spencer</t>
        </is>
      </c>
      <c r="C12" s="2" t="inlineStr">
        <is>
          <t>Thwaytes</t>
        </is>
      </c>
      <c r="D12" s="1" t="inlineStr">
        <is>
          <t>Existing</t>
        </is>
      </c>
      <c r="E12" s="2" t="inlineStr">
        <is>
          <t>Spencer Thwaytes &amp; Co LLC</t>
        </is>
      </c>
      <c r="F12" s="2" t="inlineStr">
        <is>
          <t>93-1357097</t>
        </is>
      </c>
      <c r="G12" s="2" t="inlineStr">
        <is>
          <t>1524 Bayview Drive</t>
        </is>
      </c>
      <c r="H12" s="2" t="inlineStr">
        <is>
          <t>Fort Lauderdale, FL 33304</t>
        </is>
      </c>
      <c r="I12" s="3" t="n">
        <v>3</v>
      </c>
      <c r="J12" s="3" t="inlineStr">
        <is>
          <t>Monthly</t>
        </is>
      </c>
      <c r="K12" s="4" t="n">
        <v>12</v>
      </c>
      <c r="L12" s="28" t="n">
        <v>77</v>
      </c>
      <c r="M12" s="28">
        <f>K12*L12</f>
        <v/>
      </c>
      <c r="N12" s="6" t="inlineStr">
        <is>
          <t>Yes</t>
        </is>
      </c>
      <c r="O12" s="29" t="n"/>
      <c r="P12" s="29" t="n"/>
      <c r="Q12" s="30">
        <f>M12</f>
        <v/>
      </c>
      <c r="R12" s="15" t="inlineStr">
        <is>
          <t>ADP Enhanced Payroll</t>
        </is>
      </c>
      <c r="S12" s="32" t="n">
        <v>133.25</v>
      </c>
      <c r="T12" t="inlineStr">
        <is>
          <t>Yes</t>
        </is>
      </c>
    </row>
    <row r="13">
      <c r="A13" s="1" t="n">
        <v>11</v>
      </c>
      <c r="B13" s="2" t="inlineStr">
        <is>
          <t xml:space="preserve">Richard </t>
        </is>
      </c>
      <c r="C13" s="2" t="inlineStr">
        <is>
          <t>Zamilpa</t>
        </is>
      </c>
      <c r="D13" s="1" t="inlineStr">
        <is>
          <t>Existing</t>
        </is>
      </c>
      <c r="E13" s="2" t="inlineStr">
        <is>
          <t>Complete Merchant Services Consulting</t>
        </is>
      </c>
      <c r="F13" s="2" t="inlineStr">
        <is>
          <t>99-4630525</t>
        </is>
      </c>
      <c r="G13" s="2" t="inlineStr">
        <is>
          <t>6252 Isabel Cove Ave</t>
        </is>
      </c>
      <c r="H13" s="2" t="inlineStr">
        <is>
          <t xml:space="preserve"> Las Vegas NV 89139 </t>
        </is>
      </c>
      <c r="I13" s="3" t="n">
        <v>2</v>
      </c>
      <c r="J13" s="3" t="inlineStr">
        <is>
          <t>Monthly</t>
        </is>
      </c>
      <c r="K13" s="4" t="n">
        <v>12</v>
      </c>
      <c r="L13" s="28" t="n">
        <v>100</v>
      </c>
      <c r="M13" s="28">
        <f>K13*L13</f>
        <v/>
      </c>
      <c r="N13" s="6" t="inlineStr">
        <is>
          <t>Yes</t>
        </is>
      </c>
      <c r="O13" s="4" t="n"/>
      <c r="P13" s="4" t="n"/>
      <c r="Q13" s="30">
        <f>M13</f>
        <v/>
      </c>
      <c r="R13" s="15" t="inlineStr">
        <is>
          <t>ADP Enhanced Payroll</t>
        </is>
      </c>
      <c r="S13" s="32" t="n">
        <v>129.6</v>
      </c>
      <c r="T13" t="inlineStr">
        <is>
          <t>Yes</t>
        </is>
      </c>
    </row>
    <row r="14">
      <c r="A14" s="1" t="n">
        <v>12</v>
      </c>
      <c r="B14" s="2" t="inlineStr">
        <is>
          <t xml:space="preserve">Frank </t>
        </is>
      </c>
      <c r="C14" s="2" t="inlineStr">
        <is>
          <t xml:space="preserve">Giordano </t>
        </is>
      </c>
      <c r="D14" s="1" t="inlineStr">
        <is>
          <t>Existing</t>
        </is>
      </c>
      <c r="E14" s="2" t="inlineStr">
        <is>
          <t>FRG Advisory, LLC</t>
        </is>
      </c>
      <c r="F14" s="2" t="inlineStr">
        <is>
          <t>40-0020506</t>
        </is>
      </c>
      <c r="G14" s="2" t="inlineStr">
        <is>
          <t>431 E 20th Street</t>
        </is>
      </c>
      <c r="H14" s="2" t="inlineStr">
        <is>
          <t>New York NY 10010</t>
        </is>
      </c>
      <c r="I14" s="3" t="n">
        <v>1</v>
      </c>
      <c r="J14" s="3" t="inlineStr">
        <is>
          <t>Monthly</t>
        </is>
      </c>
      <c r="K14" s="4" t="n">
        <v>12</v>
      </c>
      <c r="L14" s="28" t="n">
        <v>50</v>
      </c>
      <c r="M14" s="28">
        <f>K14*L14</f>
        <v/>
      </c>
      <c r="N14" s="6" t="inlineStr">
        <is>
          <t>Yes</t>
        </is>
      </c>
      <c r="O14" s="4" t="n"/>
      <c r="P14" s="4" t="n"/>
      <c r="Q14" s="30">
        <f>M14</f>
        <v/>
      </c>
      <c r="R14" s="15" t="inlineStr">
        <is>
          <t>ADP Enhanced Payroll</t>
        </is>
      </c>
      <c r="S14" s="32" t="n">
        <v>125.95</v>
      </c>
      <c r="T14" t="inlineStr">
        <is>
          <t>Yes</t>
        </is>
      </c>
    </row>
    <row r="15">
      <c r="A15" s="1" t="n">
        <v>13</v>
      </c>
      <c r="B15" s="2" t="inlineStr">
        <is>
          <t>Benjamin</t>
        </is>
      </c>
      <c r="C15" s="2" t="inlineStr">
        <is>
          <t xml:space="preserve">Solomon </t>
        </is>
      </c>
      <c r="D15" s="1" t="inlineStr">
        <is>
          <t>Existing</t>
        </is>
      </c>
      <c r="E15" s="2" t="inlineStr">
        <is>
          <t>Broadway 2000, Inc</t>
        </is>
      </c>
      <c r="F15" s="2" t="inlineStr">
        <is>
          <t>85-3662838</t>
        </is>
      </c>
      <c r="G15" s="2" t="inlineStr">
        <is>
          <t>662 Driggs Avenue</t>
        </is>
      </c>
      <c r="H15" s="2" t="inlineStr">
        <is>
          <t>Brooklyn, NY 11211</t>
        </is>
      </c>
      <c r="I15" s="3" t="n">
        <v>1</v>
      </c>
      <c r="J15" s="3" t="inlineStr">
        <is>
          <t>Yearly</t>
        </is>
      </c>
      <c r="K15" s="4" t="n">
        <v>1</v>
      </c>
      <c r="L15" s="28" t="n">
        <v>400</v>
      </c>
      <c r="M15" s="28">
        <f>K15*L15</f>
        <v/>
      </c>
      <c r="N15" s="6" t="inlineStr">
        <is>
          <t>Yes</t>
        </is>
      </c>
      <c r="O15" s="4" t="n"/>
      <c r="P15" s="4" t="n"/>
      <c r="Q15" s="30">
        <f>M15</f>
        <v/>
      </c>
      <c r="R15" s="15" t="inlineStr">
        <is>
          <t>ADP Essential Payroll</t>
        </is>
      </c>
      <c r="S15" s="32" t="n">
        <v>500</v>
      </c>
      <c r="T15" t="inlineStr">
        <is>
          <t>Yes</t>
        </is>
      </c>
    </row>
    <row r="16">
      <c r="A16" s="1" t="n"/>
      <c r="B16" s="2" t="n"/>
      <c r="C16" s="2" t="n"/>
      <c r="D16" s="1" t="n"/>
      <c r="E16" s="2" t="n"/>
      <c r="F16" s="2" t="n"/>
      <c r="G16" s="2" t="n"/>
      <c r="H16" s="2" t="n"/>
      <c r="I16" s="3" t="n"/>
      <c r="J16" s="3" t="n"/>
      <c r="K16" s="4" t="n"/>
      <c r="L16" s="33" t="n"/>
      <c r="M16" s="6" t="n"/>
      <c r="N16" s="6" t="n"/>
      <c r="O16" s="4" t="n"/>
      <c r="P16" s="4" t="n"/>
      <c r="Q16" s="5" t="n"/>
    </row>
    <row r="17">
      <c r="A17" s="34" t="n"/>
      <c r="B17" s="35" t="inlineStr">
        <is>
          <t>NEW CLIENTS</t>
        </is>
      </c>
      <c r="C17" s="36" t="n"/>
      <c r="D17" s="34" t="n"/>
      <c r="E17" s="36" t="n"/>
      <c r="F17" s="36" t="n"/>
      <c r="G17" s="36" t="n"/>
      <c r="H17" s="36" t="n"/>
      <c r="I17" s="37" t="n"/>
      <c r="J17" s="37" t="n"/>
      <c r="K17" s="38" t="n"/>
      <c r="L17" s="39" t="n"/>
      <c r="M17" s="40" t="n"/>
      <c r="N17" s="40" t="n"/>
      <c r="O17" s="38" t="n"/>
      <c r="P17" s="38" t="n"/>
      <c r="Q17" s="41" t="n"/>
      <c r="R17" s="42" t="n"/>
      <c r="S17" s="42" t="n"/>
      <c r="T17" s="42" t="n"/>
    </row>
    <row r="18">
      <c r="A18" s="1" t="n">
        <v>14</v>
      </c>
      <c r="B18" s="2" t="inlineStr">
        <is>
          <t>Oliver</t>
        </is>
      </c>
      <c r="C18" s="2" t="inlineStr">
        <is>
          <t>Beirne</t>
        </is>
      </c>
      <c r="D18" s="1" t="inlineStr">
        <is>
          <t>New</t>
        </is>
      </c>
      <c r="E18" s="2" t="inlineStr">
        <is>
          <t>B333 Trading Group LLC</t>
        </is>
      </c>
      <c r="F18" s="2" t="inlineStr">
        <is>
          <t>42-2175878</t>
        </is>
      </c>
      <c r="G18" s="2" t="inlineStr">
        <is>
          <t>980 N Federal Hwy Suite 314</t>
        </is>
      </c>
      <c r="H18" s="2" t="inlineStr">
        <is>
          <t>Boca Raton FL 33432</t>
        </is>
      </c>
      <c r="I18" s="3" t="n">
        <v>2</v>
      </c>
      <c r="J18" s="3" t="inlineStr">
        <is>
          <t>Monthly</t>
        </is>
      </c>
      <c r="K18" s="4" t="n">
        <v>12</v>
      </c>
      <c r="L18" s="28" t="n">
        <v>77</v>
      </c>
      <c r="M18" s="28">
        <f>K18*L18</f>
        <v/>
      </c>
      <c r="N18" s="6" t="inlineStr">
        <is>
          <t>Yes</t>
        </is>
      </c>
      <c r="O18" s="4" t="n"/>
      <c r="P18" s="4" t="n"/>
      <c r="Q18" s="30">
        <f>M18</f>
        <v/>
      </c>
      <c r="R18" s="15" t="inlineStr">
        <is>
          <t>ADP Enhanced Payroll</t>
        </is>
      </c>
      <c r="S18" s="32" t="n">
        <v>129.6</v>
      </c>
      <c r="T18" t="inlineStr">
        <is>
          <t>Yes</t>
        </is>
      </c>
    </row>
    <row r="19">
      <c r="A19" s="1" t="n">
        <v>15</v>
      </c>
      <c r="B19" s="2" t="inlineStr">
        <is>
          <t xml:space="preserve">Anthony </t>
        </is>
      </c>
      <c r="C19" s="2" t="inlineStr">
        <is>
          <t xml:space="preserve">Gerb </t>
        </is>
      </c>
      <c r="D19" s="1" t="inlineStr">
        <is>
          <t>New</t>
        </is>
      </c>
      <c r="E19" s="2" t="inlineStr">
        <is>
          <t>AJG Trading LLC</t>
        </is>
      </c>
      <c r="F19" s="2" t="inlineStr">
        <is>
          <t>41-5035542</t>
        </is>
      </c>
      <c r="G19" s="2" t="inlineStr">
        <is>
          <t>1881 N Nash Street Apt No 705</t>
        </is>
      </c>
      <c r="H19" s="2" t="inlineStr">
        <is>
          <t>Arlington, VA 22209</t>
        </is>
      </c>
      <c r="I19" s="3" t="n">
        <v>1</v>
      </c>
      <c r="J19" s="3" t="inlineStr">
        <is>
          <t>Monthly</t>
        </is>
      </c>
      <c r="K19" s="4" t="n">
        <v>12</v>
      </c>
      <c r="L19" s="28" t="n">
        <v>70</v>
      </c>
      <c r="M19" s="28">
        <f>K19*L19</f>
        <v/>
      </c>
      <c r="N19" s="6" t="inlineStr">
        <is>
          <t>Yes</t>
        </is>
      </c>
      <c r="O19" s="4" t="n"/>
      <c r="P19" s="4" t="n"/>
      <c r="Q19" s="30">
        <f>M19</f>
        <v/>
      </c>
      <c r="R19" s="15" t="inlineStr">
        <is>
          <t>ADP Enhanced Payroll</t>
        </is>
      </c>
      <c r="S19" s="32" t="n">
        <v>125.95</v>
      </c>
      <c r="T19" t="inlineStr">
        <is>
          <t>Yes</t>
        </is>
      </c>
    </row>
    <row r="20">
      <c r="A20" s="1" t="n">
        <v>16</v>
      </c>
      <c r="B20" s="2" t="inlineStr">
        <is>
          <t xml:space="preserve">Alexander </t>
        </is>
      </c>
      <c r="C20" s="2" t="inlineStr">
        <is>
          <t>Harris</t>
        </is>
      </c>
      <c r="D20" s="1" t="inlineStr">
        <is>
          <t>New</t>
        </is>
      </c>
      <c r="E20" s="2" t="inlineStr">
        <is>
          <t>Kapstone Digital LLC</t>
        </is>
      </c>
      <c r="F20" s="2" t="inlineStr">
        <is>
          <t>85-3782692</t>
        </is>
      </c>
      <c r="G20" s="2" t="inlineStr">
        <is>
          <t>936 SW 1st Ave Apt. No. 406</t>
        </is>
      </c>
      <c r="H20" s="2" t="inlineStr">
        <is>
          <t>Miami, FL 33130</t>
        </is>
      </c>
      <c r="I20" s="3" t="n">
        <v>1</v>
      </c>
      <c r="J20" s="3" t="inlineStr">
        <is>
          <t>Monthly</t>
        </is>
      </c>
      <c r="K20" s="4" t="n">
        <v>12</v>
      </c>
      <c r="L20" s="28" t="n">
        <v>70</v>
      </c>
      <c r="M20" s="28">
        <f>K20*L20</f>
        <v/>
      </c>
      <c r="N20" s="6" t="inlineStr">
        <is>
          <t>Yes</t>
        </is>
      </c>
      <c r="O20" s="4" t="n"/>
      <c r="P20" s="4" t="n"/>
      <c r="Q20" s="30">
        <f>M20</f>
        <v/>
      </c>
      <c r="R20" s="15" t="inlineStr">
        <is>
          <t>ADP Enhanced Payroll</t>
        </is>
      </c>
      <c r="S20" s="32" t="n">
        <v>125.95</v>
      </c>
      <c r="T20" t="inlineStr">
        <is>
          <t>Yes</t>
        </is>
      </c>
    </row>
    <row r="21">
      <c r="A21" s="1" t="n">
        <v>17</v>
      </c>
      <c r="B21" s="2" t="inlineStr">
        <is>
          <t>John</t>
        </is>
      </c>
      <c r="C21" s="2" t="inlineStr">
        <is>
          <t>Ewing</t>
        </is>
      </c>
      <c r="D21" s="1" t="inlineStr">
        <is>
          <t>New</t>
        </is>
      </c>
      <c r="E21" s="2" t="inlineStr">
        <is>
          <t>Atlas Opera, Inc.</t>
        </is>
      </c>
      <c r="F21" s="2" t="inlineStr">
        <is>
          <t>82-2302400</t>
        </is>
      </c>
      <c r="G21" s="2" t="inlineStr">
        <is>
          <t>83 Canal Street</t>
        </is>
      </c>
      <c r="H21" s="2" t="inlineStr">
        <is>
          <t>New York, NY 10002</t>
        </is>
      </c>
      <c r="I21" s="3" t="n">
        <v>1</v>
      </c>
      <c r="J21" s="3" t="inlineStr">
        <is>
          <t>Monthly</t>
        </is>
      </c>
      <c r="K21" s="4" t="n">
        <v>12</v>
      </c>
      <c r="L21" s="28" t="n">
        <v>70</v>
      </c>
      <c r="M21" s="28">
        <f>K21*L21</f>
        <v/>
      </c>
      <c r="N21" s="6" t="n"/>
      <c r="O21" s="4" t="n"/>
      <c r="P21" s="4" t="n"/>
      <c r="Q21" s="30">
        <f>M21</f>
        <v/>
      </c>
      <c r="R21" s="15" t="inlineStr">
        <is>
          <t>ADP Enhanced Payroll</t>
        </is>
      </c>
      <c r="S21" s="32" t="n">
        <v>125.95</v>
      </c>
      <c r="T21" t="inlineStr">
        <is>
          <t>Yes</t>
        </is>
      </c>
    </row>
    <row r="22">
      <c r="A22" s="1" t="n">
        <v>18</v>
      </c>
      <c r="B22" s="2" t="inlineStr">
        <is>
          <t xml:space="preserve">Christina </t>
        </is>
      </c>
      <c r="C22" s="2" t="inlineStr">
        <is>
          <t xml:space="preserve">Pellicane </t>
        </is>
      </c>
      <c r="D22" s="1" t="inlineStr">
        <is>
          <t>New</t>
        </is>
      </c>
      <c r="E22" s="2" t="inlineStr">
        <is>
          <t>North Star Works, LLC</t>
        </is>
      </c>
      <c r="F22" s="2" t="inlineStr">
        <is>
          <t>42-4495054</t>
        </is>
      </c>
      <c r="G22" s="2" t="inlineStr">
        <is>
          <t>121 S Colts Neck Way</t>
        </is>
      </c>
      <c r="H22" s="2" t="inlineStr">
        <is>
          <t>Hockessin, DE 19707</t>
        </is>
      </c>
      <c r="I22" s="3" t="n">
        <v>1</v>
      </c>
      <c r="J22" s="3" t="inlineStr">
        <is>
          <t>Monthly</t>
        </is>
      </c>
      <c r="K22" s="4" t="n">
        <v>12</v>
      </c>
      <c r="L22" s="28" t="n">
        <v>50</v>
      </c>
      <c r="M22" s="28">
        <f>K22*L22</f>
        <v/>
      </c>
      <c r="N22" s="6" t="inlineStr">
        <is>
          <t>Yes</t>
        </is>
      </c>
      <c r="O22" s="4" t="n"/>
      <c r="P22" s="4" t="n"/>
      <c r="Q22" s="30">
        <f>M22</f>
        <v/>
      </c>
      <c r="R22" s="15" t="inlineStr">
        <is>
          <t>ADP Enhanced Payroll</t>
        </is>
      </c>
      <c r="S22" s="32" t="n">
        <v>125.95</v>
      </c>
      <c r="T22" t="inlineStr">
        <is>
          <t>Yes</t>
        </is>
      </c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43" t="inlineStr">
        <is>
          <t>New clients total</t>
        </is>
      </c>
      <c r="M23" s="44">
        <f>SUM(M18:M22)</f>
        <v/>
      </c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33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33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33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33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33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45" t="inlineStr">
        <is>
          <t>Total</t>
        </is>
      </c>
      <c r="M29" s="12">
        <f>SUM(M3:M15)</f>
        <v/>
      </c>
      <c r="N29" s="6" t="n"/>
      <c r="O29" s="4" t="n"/>
      <c r="P29" s="4" t="n"/>
      <c r="Q29" s="5" t="n"/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45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45" t="inlineStr">
        <is>
          <t>Multiplier</t>
        </is>
      </c>
      <c r="M31" s="12">
        <f>M29*2</f>
        <v/>
      </c>
      <c r="N31" s="6" t="n"/>
      <c r="O31" s="4" t="n"/>
      <c r="P31" s="4" t="n"/>
      <c r="Q31" s="5" t="n"/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33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33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33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33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33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33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33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33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33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33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33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33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33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4" customWidth="1" min="1" max="1"/>
    <col width="23" customWidth="1" min="2" max="2"/>
    <col width="23" customWidth="1" min="3" max="3"/>
    <col width="23" customWidth="1" min="4" max="4"/>
    <col width="23" customWidth="1" min="5" max="5"/>
    <col width="13" customWidth="1" min="6" max="6"/>
    <col width="13" customWidth="1" min="7" max="7"/>
  </cols>
  <sheetData>
    <row r="1" ht="24" customHeight="1">
      <c r="A1" s="46" t="inlineStr">
        <is>
          <t>ADP RUN PAYROLL PACKAGES — ZONE 7 LIST</t>
        </is>
      </c>
    </row>
    <row r="2">
      <c r="A2" s="47" t="inlineStr">
        <is>
          <t>List price per payroll run. The package is locked at submission. The price is adjustable.</t>
        </is>
      </c>
    </row>
    <row r="4">
      <c r="A4" s="48" t="inlineStr">
        <is>
          <t>Package</t>
        </is>
      </c>
      <c r="B4" s="48" t="inlineStr">
        <is>
          <t>Weekly</t>
        </is>
      </c>
      <c r="C4" s="48" t="inlineStr">
        <is>
          <t>Bi-weekly</t>
        </is>
      </c>
      <c r="D4" s="48" t="inlineStr">
        <is>
          <t>Semi-monthly</t>
        </is>
      </c>
      <c r="E4" s="48" t="inlineStr">
        <is>
          <t>Monthly</t>
        </is>
      </c>
      <c r="F4" s="48" t="inlineStr">
        <is>
          <t>Quarterly</t>
        </is>
      </c>
      <c r="G4" s="48" t="inlineStr">
        <is>
          <t>Annual</t>
        </is>
      </c>
    </row>
    <row r="5" ht="52" customHeight="1">
      <c r="A5" s="49" t="inlineStr">
        <is>
          <t>ADP Essential Payroll</t>
        </is>
      </c>
      <c r="B5" s="50" t="inlineStr">
        <is>
          <t>$40.95 ees 1-2
$46.95 ees 3-4
+$2.75 over 4</t>
        </is>
      </c>
      <c r="C5" s="50" t="inlineStr">
        <is>
          <t>$65.95 ees 1-2
$71.95 ees 3-4
+$2.70 over 4</t>
        </is>
      </c>
      <c r="D5" s="50" t="inlineStr">
        <is>
          <t>$69.95 ees 1-2
$75.95 ees 3-4
+$2.95 over 4</t>
        </is>
      </c>
      <c r="E5" s="50" t="inlineStr">
        <is>
          <t>$79 base
+$4 per employee</t>
        </is>
      </c>
      <c r="F5" s="50" t="inlineStr">
        <is>
          <t>$127.95</t>
        </is>
      </c>
      <c r="G5" s="50" t="inlineStr">
        <is>
          <t>$500.00</t>
        </is>
      </c>
    </row>
    <row r="6" ht="52" customHeight="1">
      <c r="A6" s="49" t="inlineStr">
        <is>
          <t>ADP Enhanced Payroll</t>
        </is>
      </c>
      <c r="B6" s="50" t="inlineStr">
        <is>
          <t>$64.50 base
+$3.15 each over 1</t>
        </is>
      </c>
      <c r="C6" s="50" t="inlineStr">
        <is>
          <t>$92.95 base
+$3.60 each over 1</t>
        </is>
      </c>
      <c r="D6" s="50" t="inlineStr">
        <is>
          <t>$98.95 base
+$3.80 each over 1</t>
        </is>
      </c>
      <c r="E6" s="50" t="inlineStr">
        <is>
          <t>$125.95 base
+$3.65 each over 1</t>
        </is>
      </c>
      <c r="F6" s="50" t="inlineStr">
        <is>
          <t>$199.95</t>
        </is>
      </c>
      <c r="G6" s="50" t="inlineStr">
        <is>
          <t>—</t>
        </is>
      </c>
    </row>
    <row r="7" ht="52" customHeight="1">
      <c r="A7" s="49" t="inlineStr">
        <is>
          <t>ADP Complete Payroll and HR Plus</t>
        </is>
      </c>
      <c r="B7" s="50" t="inlineStr">
        <is>
          <t>$92.95 ees 1-2
$98.95 ees 3-4
+$3.40 over 4</t>
        </is>
      </c>
      <c r="C7" s="50" t="inlineStr">
        <is>
          <t>$169.95 ees 1-2
$175.95 ees 3-4
+$4.75 over 4</t>
        </is>
      </c>
      <c r="D7" s="50" t="inlineStr">
        <is>
          <t>$181.95 ees 1-2
$188.95 ees 3-4
+$4.80 over 4</t>
        </is>
      </c>
      <c r="E7" s="50" t="inlineStr">
        <is>
          <t>$258.95 ees 1-2
$264.95 ees 3-4
+$4.30 over 4</t>
        </is>
      </c>
      <c r="F7" s="50" t="inlineStr">
        <is>
          <t>—</t>
        </is>
      </c>
      <c r="G7" s="50" t="inlineStr">
        <is>
          <t>—</t>
        </is>
      </c>
    </row>
    <row r="8" ht="52" customHeight="1">
      <c r="A8" s="49" t="inlineStr">
        <is>
          <t>ADP HR Pro</t>
        </is>
      </c>
      <c r="B8" s="50" t="inlineStr">
        <is>
          <t>$132.95 ees 1-2
$139.95 ees 3-4
+$4.25 over 4</t>
        </is>
      </c>
      <c r="C8" s="50" t="inlineStr">
        <is>
          <t>$254.95 ees 1-2
$261.95 ees 3-4
+$5.00 over 4</t>
        </is>
      </c>
      <c r="D8" s="50" t="inlineStr">
        <is>
          <t>$269.95 ees 1-2
$276.95 ees 3-4
+$5.05 over 4</t>
        </is>
      </c>
      <c r="E8" s="50" t="inlineStr">
        <is>
          <t>$399.95 ees 1-2
$406.95 ees 3-4
+$4.90 over 4</t>
        </is>
      </c>
      <c r="F8" s="50" t="inlineStr">
        <is>
          <t>—</t>
        </is>
      </c>
      <c r="G8" s="50" t="inlineStr">
        <is>
          <t>—</t>
        </is>
      </c>
    </row>
    <row r="10">
      <c r="A10" s="15" t="inlineStr">
        <is>
          <t>ASSIGNMENTS</t>
        </is>
      </c>
    </row>
    <row r="11">
      <c r="A11" t="inlineStr">
        <is>
          <t xml:space="preserve">   Everyone is on Enhanced except four.</t>
        </is>
      </c>
    </row>
    <row r="12">
      <c r="A12" t="inlineStr">
        <is>
          <t xml:space="preserve">   Walters Mirrors — HR Pro, bi-weekly, 3 employees. List 261.95.</t>
        </is>
      </c>
    </row>
    <row r="13">
      <c r="A13" t="inlineStr">
        <is>
          <t xml:space="preserve">   Broadway 2000 — Essential. Enhanced has no annual price and this client runs one payroll a year.</t>
        </is>
      </c>
    </row>
    <row r="14">
      <c r="A14" t="inlineStr">
        <is>
          <t xml:space="preserve">   Wisdom by Woods and Auction Time Pieces — Complete. Both price above Enhanced list, so Complete is the right fit.</t>
        </is>
      </c>
    </row>
    <row r="15">
      <c r="A15" s="15" t="inlineStr">
        <is>
          <t xml:space="preserve">   Wisdom 129.78 against Complete list 258.95. Auction 154.10 against Complete list 181.95. Both now sit under list.</t>
        </is>
      </c>
    </row>
    <row r="16">
      <c r="A16" t="inlineStr">
        <is>
          <t xml:space="preserve">   Wisdom by Woods, 129.78 against 125.95 list.</t>
        </is>
      </c>
    </row>
    <row r="17">
      <c r="A17" t="inlineStr">
        <is>
          <t xml:space="preserve">   Auction Time Pieces, 154.10 against 102.75 list.</t>
        </is>
      </c>
    </row>
    <row r="18">
      <c r="A18" t="inlineStr">
        <is>
          <t xml:space="preserve">   Either cap them at list or move them to Complete, which lists at 258.95 and 181.95.</t>
        </is>
      </c>
    </row>
    <row r="19"/>
    <row r="20">
      <c r="A20" t="inlineStr">
        <is>
          <t>Source: FY25 SBS RUN Price Book, Zone 7, 2nd Release. ADP internal.</t>
        </is>
      </c>
    </row>
    <row r="21"/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2026-09-24T20:25:45Z</dcterms:modified>
  <cp:lastModifiedBy>Stephen Scialo</cp:lastModifiedBy>
</cp:coreProperties>
</file>