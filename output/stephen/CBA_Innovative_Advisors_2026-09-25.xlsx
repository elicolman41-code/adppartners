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Pricing No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$#,##0.00"/>
    <numFmt numFmtId="167" formatCode="$#,##0.00;[Red]($#,##0.00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b val="1"/>
    </font>
    <font>
      <i val="1"/>
    </font>
    <font>
      <b val="1"/>
      <color rgb="00FFFFFF"/>
      <sz val="14"/>
    </font>
    <font>
      <i val="1"/>
      <sz val="10"/>
    </font>
    <font>
      <b val="1"/>
      <sz val="11"/>
    </font>
    <font>
      <b val="1"/>
      <sz val="10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FFD0271D"/>
        <bgColor indexed="64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1" fillId="0" borderId="0"/>
    <xf numFmtId="44" fontId="1" fillId="0" borderId="0"/>
    <xf numFmtId="0" fontId="2" fillId="0" borderId="0"/>
  </cellStyleXfs>
  <cellXfs count="47">
    <xf numFmtId="0" fontId="0" fillId="0" borderId="0" pivotButton="0" quotePrefix="0" xfId="0"/>
    <xf numFmtId="0" fontId="4" fillId="0" borderId="1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horizontal="left"/>
      <protection locked="0" hidden="0"/>
    </xf>
    <xf numFmtId="0" fontId="4" fillId="0" borderId="1" applyAlignment="1" applyProtection="1" pivotButton="0" quotePrefix="0" xfId="0">
      <alignment horizontal="center" vertical="top"/>
      <protection locked="0" hidden="0"/>
    </xf>
    <xf numFmtId="0" fontId="5" fillId="0" borderId="1" applyAlignment="1" applyProtection="1" pivotButton="0" quotePrefix="0" xfId="2">
      <alignment horizontal="center"/>
      <protection locked="0" hidden="0"/>
    </xf>
    <xf numFmtId="164" fontId="4" fillId="0" borderId="1" applyProtection="1" pivotButton="0" quotePrefix="0" xfId="1">
      <protection locked="0" hidden="0"/>
    </xf>
    <xf numFmtId="164" fontId="4" fillId="0" borderId="1" applyAlignment="1" applyProtection="1" pivotButton="0" quotePrefix="0" xfId="1">
      <alignment horizontal="right"/>
      <protection locked="0" hidden="0"/>
    </xf>
    <xf numFmtId="0" fontId="3" fillId="2" borderId="1" applyAlignment="1" applyProtection="1" pivotButton="0" quotePrefix="0" xfId="2">
      <alignment horizontal="center" vertical="center" wrapText="1"/>
      <protection locked="0" hidden="0"/>
    </xf>
    <xf numFmtId="0" fontId="3" fillId="2" borderId="1" applyAlignment="1" applyProtection="1" pivotButton="0" quotePrefix="0" xfId="2">
      <alignment horizontal="center" vertical="center"/>
      <protection locked="0" hidden="0"/>
    </xf>
    <xf numFmtId="165" fontId="5" fillId="0" borderId="1" applyAlignment="1" applyProtection="1" pivotButton="0" quotePrefix="0" xfId="1">
      <alignment horizontal="center"/>
      <protection locked="0" hidden="0"/>
    </xf>
    <xf numFmtId="2" fontId="3" fillId="2" borderId="1" applyAlignment="1" applyProtection="1" pivotButton="0" quotePrefix="0" xfId="2">
      <alignment horizontal="center" vertical="center" wrapText="1"/>
      <protection locked="0" hidden="0"/>
    </xf>
    <xf numFmtId="164" fontId="4" fillId="0" borderId="3" applyAlignment="1" applyProtection="1" pivotButton="0" quotePrefix="0" xfId="1">
      <alignment horizontal="right"/>
      <protection locked="0" hidden="0"/>
    </xf>
    <xf numFmtId="164" fontId="6" fillId="0" borderId="2" applyAlignment="1" applyProtection="1" pivotButton="0" quotePrefix="0" xfId="1">
      <alignment horizontal="right"/>
      <protection locked="0" hidden="0"/>
    </xf>
    <xf numFmtId="165" fontId="4" fillId="0" borderId="1" applyAlignment="1" applyProtection="1" pivotButton="0" quotePrefix="0" xfId="1">
      <alignment horizontal="right"/>
      <protection locked="0" hidden="0"/>
    </xf>
    <xf numFmtId="165" fontId="4" fillId="0" borderId="1" applyAlignment="1" applyProtection="1" pivotButton="0" quotePrefix="0" xfId="1">
      <alignment horizontal="left"/>
      <protection locked="0" hidden="0"/>
    </xf>
    <xf numFmtId="0" fontId="4" fillId="3" borderId="1" applyAlignment="1" applyProtection="1" pivotButton="0" quotePrefix="0" xfId="0">
      <alignment horizontal="center"/>
      <protection locked="0" hidden="0"/>
    </xf>
    <xf numFmtId="0" fontId="4" fillId="3" borderId="1" applyAlignment="1" applyProtection="1" pivotButton="0" quotePrefix="0" xfId="0">
      <alignment horizontal="left"/>
      <protection locked="0" hidden="0"/>
    </xf>
    <xf numFmtId="0" fontId="7" fillId="3" borderId="1" applyAlignment="1" applyProtection="1" pivotButton="0" quotePrefix="0" xfId="0">
      <alignment horizontal="left"/>
      <protection locked="0" hidden="0"/>
    </xf>
    <xf numFmtId="0" fontId="4" fillId="3" borderId="1" applyAlignment="1" applyProtection="1" pivotButton="0" quotePrefix="0" xfId="0">
      <alignment horizontal="center" vertical="top"/>
      <protection locked="0" hidden="0"/>
    </xf>
    <xf numFmtId="0" fontId="5" fillId="3" borderId="1" applyAlignment="1" applyProtection="1" pivotButton="0" quotePrefix="0" xfId="2">
      <alignment horizontal="center"/>
      <protection locked="0" hidden="0"/>
    </xf>
    <xf numFmtId="166" fontId="4" fillId="3" borderId="1" applyAlignment="1" applyProtection="1" pivotButton="0" quotePrefix="0" xfId="1">
      <alignment horizontal="right"/>
      <protection locked="0" hidden="0"/>
    </xf>
    <xf numFmtId="164" fontId="4" fillId="3" borderId="1" applyAlignment="1" applyProtection="1" pivotButton="0" quotePrefix="0" xfId="1">
      <alignment horizontal="right"/>
      <protection locked="0" hidden="0"/>
    </xf>
    <xf numFmtId="165" fontId="5" fillId="3" borderId="1" applyAlignment="1" applyProtection="1" pivotButton="0" quotePrefix="0" xfId="1">
      <alignment horizontal="center"/>
      <protection locked="0" hidden="0"/>
    </xf>
    <xf numFmtId="166" fontId="4" fillId="3" borderId="1" applyProtection="1" pivotButton="0" quotePrefix="0" xfId="1">
      <protection locked="0" hidden="0"/>
    </xf>
    <xf numFmtId="166" fontId="4" fillId="0" borderId="1" applyAlignment="1" applyProtection="1" pivotButton="0" quotePrefix="0" xfId="1">
      <alignment horizontal="right"/>
      <protection locked="0" hidden="0"/>
    </xf>
    <xf numFmtId="165" fontId="5" fillId="0" borderId="1" applyAlignment="1" applyProtection="1" pivotButton="0" quotePrefix="0" xfId="1">
      <alignment horizontal="center"/>
      <protection locked="0" hidden="0"/>
    </xf>
    <xf numFmtId="166" fontId="4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right"/>
      <protection locked="0" hidden="0"/>
    </xf>
    <xf numFmtId="0" fontId="8" fillId="0" borderId="1" applyAlignment="1" applyProtection="1" pivotButton="0" quotePrefix="0" xfId="0">
      <alignment horizontal="left"/>
      <protection locked="0" hidden="0"/>
    </xf>
    <xf numFmtId="165" fontId="4" fillId="0" borderId="1" applyAlignment="1" applyProtection="1" pivotButton="0" quotePrefix="0" xfId="1">
      <alignment horizontal="left"/>
      <protection locked="0" hidden="0"/>
    </xf>
    <xf numFmtId="0" fontId="9" fillId="4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0" fillId="3" borderId="0" pivotButton="0" quotePrefix="0" xfId="0"/>
    <xf numFmtId="0" fontId="12" fillId="5" borderId="4" applyAlignment="1" pivotButton="0" quotePrefix="0" xfId="0">
      <alignment horizontal="center" vertical="center" wrapText="1"/>
    </xf>
    <xf numFmtId="0" fontId="7" fillId="0" borderId="4" pivotButton="0" quotePrefix="0" xfId="0"/>
    <xf numFmtId="166" fontId="0" fillId="0" borderId="4" pivotButton="0" quotePrefix="0" xfId="0"/>
    <xf numFmtId="167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4" pivotButton="0" quotePrefix="0" xfId="0"/>
    <xf numFmtId="0" fontId="11" fillId="6" borderId="0" pivotButton="0" quotePrefix="0" xfId="0"/>
    <xf numFmtId="0" fontId="0" fillId="6" borderId="0" pivotButton="0" quotePrefix="0" xfId="0"/>
    <xf numFmtId="0" fontId="11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7" fillId="0" borderId="1" applyAlignment="1" applyProtection="1" pivotButton="0" quotePrefix="0" xfId="0">
      <alignment horizontal="left"/>
      <protection locked="0" hidden="0"/>
    </xf>
  </cellXfs>
  <cellStyles count="3">
    <cellStyle name="Normal" xfId="0" builtinId="0"/>
    <cellStyle name="Currency" xfId="1" builtinId="4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22"/>
  <sheetViews>
    <sheetView tabSelected="1" zoomScale="77" workbookViewId="0">
      <selection activeCell="K28" sqref="K28"/>
    </sheetView>
  </sheetViews>
  <sheetFormatPr baseColWidth="8" defaultColWidth="15.5703125" defaultRowHeight="15"/>
  <cols>
    <col width="14.28515625" bestFit="1" customWidth="1" min="1" max="1"/>
    <col width="14.28515625" customWidth="1" min="2" max="4"/>
    <col width="36.140625" bestFit="1" customWidth="1" min="5" max="5"/>
    <col width="36.140625" customWidth="1" min="6" max="8"/>
    <col width="14.28515625" bestFit="1" customWidth="1" min="9" max="9"/>
    <col width="14.28515625" customWidth="1" min="10" max="10"/>
    <col width="15" bestFit="1" customWidth="1" min="11" max="11"/>
    <col width="15" customWidth="1" min="12" max="12"/>
    <col width="38" customWidth="1" min="15" max="16"/>
    <col width="18" bestFit="1" customWidth="1" min="17" max="17"/>
    <col width="38" customWidth="1" min="18" max="18"/>
  </cols>
  <sheetData>
    <row r="2" ht="74.45" customHeight="1">
      <c r="A2" s="7" t="inlineStr">
        <is>
          <t>Client Count</t>
        </is>
      </c>
      <c r="B2" s="7" t="inlineStr">
        <is>
          <t>Owner First Name</t>
        </is>
      </c>
      <c r="C2" s="7" t="inlineStr">
        <is>
          <t>Owner Last Name</t>
        </is>
      </c>
      <c r="D2" s="7" t="inlineStr">
        <is>
          <t>New Payroll or Existing Payroll this year</t>
        </is>
      </c>
      <c r="E2" s="8" t="inlineStr">
        <is>
          <t>Client Legal Name</t>
        </is>
      </c>
      <c r="F2" s="8" t="inlineStr">
        <is>
          <t>EIN</t>
        </is>
      </c>
      <c r="G2" s="8" t="inlineStr">
        <is>
          <t>Address</t>
        </is>
      </c>
      <c r="H2" s="8" t="inlineStr">
        <is>
          <t>City, State Zipcode</t>
        </is>
      </c>
      <c r="I2" s="7" t="inlineStr">
        <is>
          <t>Avg # of EEs paid each payroll</t>
        </is>
      </c>
      <c r="J2" s="7" t="inlineStr">
        <is>
          <t>Payroll Frequency</t>
        </is>
      </c>
      <c r="K2" s="7" t="inlineStr">
        <is>
          <t>Payroll Frequency</t>
        </is>
      </c>
      <c r="L2" s="7" t="inlineStr">
        <is>
          <t>Fee Per payroll run</t>
        </is>
      </c>
      <c r="M2" s="10" t="inlineStr">
        <is>
          <t>Run Rate</t>
        </is>
      </c>
      <c r="N2" s="10" t="inlineStr">
        <is>
          <t>401K Plan</t>
        </is>
      </c>
      <c r="O2" s="44" t="inlineStr">
        <is>
          <t>Access</t>
        </is>
      </c>
    </row>
    <row r="3">
      <c r="A3" s="1" t="n">
        <v>1</v>
      </c>
      <c r="B3" s="2" t="inlineStr">
        <is>
          <t>Robert</t>
        </is>
      </c>
      <c r="C3" s="2" t="inlineStr">
        <is>
          <t>Tupe</t>
        </is>
      </c>
      <c r="D3" s="1" t="inlineStr">
        <is>
          <t>Existing</t>
        </is>
      </c>
      <c r="E3" s="46" t="inlineStr">
        <is>
          <t>Upstate Logistics Group LLC</t>
        </is>
      </c>
      <c r="F3" s="2" t="inlineStr">
        <is>
          <t>33-4154077</t>
        </is>
      </c>
      <c r="G3" s="2" t="inlineStr">
        <is>
          <t>2107 Goldfinch Blvd</t>
        </is>
      </c>
      <c r="H3" s="2" t="inlineStr">
        <is>
          <t>Princeton, NJ 08540</t>
        </is>
      </c>
      <c r="I3" s="3" t="n">
        <v>3</v>
      </c>
      <c r="J3" s="3" t="inlineStr">
        <is>
          <t>Biweekly</t>
        </is>
      </c>
      <c r="K3" s="4" t="n">
        <v>26</v>
      </c>
      <c r="L3" s="24" t="n">
        <v>78.56999999999999</v>
      </c>
      <c r="M3" s="24">
        <f>K3*L3</f>
        <v/>
      </c>
      <c r="N3" s="6" t="n"/>
    </row>
    <row r="4">
      <c r="A4" s="1" t="n">
        <v>2</v>
      </c>
      <c r="B4" s="2" t="inlineStr">
        <is>
          <t>Ty</t>
        </is>
      </c>
      <c r="C4" s="2" t="inlineStr">
        <is>
          <t>Tyree</t>
        </is>
      </c>
      <c r="D4" s="1" t="inlineStr">
        <is>
          <t>Existing</t>
        </is>
      </c>
      <c r="E4" s="46" t="inlineStr">
        <is>
          <t>Tyree Advisory Group LLC</t>
        </is>
      </c>
      <c r="F4" s="2" t="inlineStr">
        <is>
          <t>42-1951214</t>
        </is>
      </c>
      <c r="G4" s="2" t="inlineStr">
        <is>
          <t>106 W Dorothys Way</t>
        </is>
      </c>
      <c r="H4" s="2" t="inlineStr">
        <is>
          <t>Lincoln University, PA 19352</t>
        </is>
      </c>
      <c r="I4" s="3" t="n">
        <v>1</v>
      </c>
      <c r="J4" s="3" t="inlineStr">
        <is>
          <t>Monthly</t>
        </is>
      </c>
      <c r="K4" s="4" t="n">
        <v>12</v>
      </c>
      <c r="L4" s="24" t="n">
        <v>71.92</v>
      </c>
      <c r="M4" s="24">
        <f>K4*L4</f>
        <v/>
      </c>
      <c r="N4" s="6" t="n"/>
    </row>
    <row r="5">
      <c r="A5" s="1" t="n">
        <v>3</v>
      </c>
      <c r="B5" s="2" t="inlineStr">
        <is>
          <t xml:space="preserve">Ricardo </t>
        </is>
      </c>
      <c r="C5" s="2" t="inlineStr">
        <is>
          <t>De'Carvalho</t>
        </is>
      </c>
      <c r="D5" s="1" t="inlineStr">
        <is>
          <t>Existing</t>
        </is>
      </c>
      <c r="E5" s="46" t="inlineStr">
        <is>
          <t>RJC Holdings</t>
        </is>
      </c>
      <c r="F5" s="2" t="inlineStr">
        <is>
          <t>86-2385686</t>
        </is>
      </c>
      <c r="G5" s="2" t="inlineStr">
        <is>
          <t>6278 North Federal Highway</t>
        </is>
      </c>
      <c r="H5" s="2" t="inlineStr">
        <is>
          <t>Fort Lauderdale, FL 33308</t>
        </is>
      </c>
      <c r="I5" s="3" t="n">
        <v>1</v>
      </c>
      <c r="J5" s="3" t="inlineStr">
        <is>
          <t>Monthly</t>
        </is>
      </c>
      <c r="K5" s="4" t="n">
        <v>12</v>
      </c>
      <c r="L5" s="24" t="n">
        <v>58</v>
      </c>
      <c r="M5" s="24">
        <f>K5*L5</f>
        <v/>
      </c>
      <c r="N5" s="6" t="n"/>
      <c r="O5" s="45" t="inlineStr">
        <is>
          <t>No access — Paychex cannot link the account</t>
        </is>
      </c>
    </row>
    <row r="6">
      <c r="A6" s="1" t="n">
        <v>4</v>
      </c>
      <c r="B6" s="2" t="inlineStr">
        <is>
          <t>Heather</t>
        </is>
      </c>
      <c r="C6" s="2" t="inlineStr">
        <is>
          <t>Kranz</t>
        </is>
      </c>
      <c r="D6" s="1" t="inlineStr">
        <is>
          <t>Existing</t>
        </is>
      </c>
      <c r="E6" s="46" t="inlineStr">
        <is>
          <t>Kranz Motorcars LLC</t>
        </is>
      </c>
      <c r="F6" s="2" t="inlineStr">
        <is>
          <t>39-2155930</t>
        </is>
      </c>
      <c r="G6" s="2" t="inlineStr">
        <is>
          <t>432 S Walnut St</t>
        </is>
      </c>
      <c r="H6" s="2" t="inlineStr">
        <is>
          <t>Kennett Square, PA 19348</t>
        </is>
      </c>
      <c r="I6" s="3" t="n">
        <v>1</v>
      </c>
      <c r="J6" s="3" t="inlineStr">
        <is>
          <t>Weekly</t>
        </is>
      </c>
      <c r="K6" s="4" t="n">
        <v>52</v>
      </c>
      <c r="L6" s="24" t="n">
        <v>59.5</v>
      </c>
      <c r="M6" s="24">
        <f>K6*L6</f>
        <v/>
      </c>
      <c r="N6" s="6" t="n"/>
      <c r="O6" s="45" t="n"/>
    </row>
    <row r="7">
      <c r="A7" s="1" t="n">
        <v>5</v>
      </c>
      <c r="B7" s="2" t="inlineStr">
        <is>
          <t xml:space="preserve">Robert </t>
        </is>
      </c>
      <c r="C7" s="2" t="inlineStr">
        <is>
          <t>Shaul</t>
        </is>
      </c>
      <c r="D7" s="1" t="inlineStr">
        <is>
          <t>Existing</t>
        </is>
      </c>
      <c r="E7" s="2" t="inlineStr">
        <is>
          <t>Wisdom by Woods LLC</t>
        </is>
      </c>
      <c r="F7" s="2" t="inlineStr">
        <is>
          <t>93-3723791</t>
        </is>
      </c>
      <c r="G7" s="2" t="inlineStr">
        <is>
          <t>5320 Blue Reed Lane</t>
        </is>
      </c>
      <c r="H7" s="2" t="inlineStr">
        <is>
          <t>Lake Worth, FL 33467</t>
        </is>
      </c>
      <c r="I7" s="3" t="n">
        <v>1</v>
      </c>
      <c r="J7" s="3" t="inlineStr">
        <is>
          <t>Monthly</t>
        </is>
      </c>
      <c r="K7" s="4" t="n">
        <v>12</v>
      </c>
      <c r="L7" s="24" t="n">
        <v>129.78</v>
      </c>
      <c r="M7" s="24">
        <f>K7*L7</f>
        <v/>
      </c>
      <c r="N7" s="6" t="n"/>
    </row>
    <row r="8">
      <c r="A8" s="1" t="n">
        <v>6</v>
      </c>
      <c r="B8" s="2" t="inlineStr">
        <is>
          <t>Hani</t>
        </is>
      </c>
      <c r="C8" s="2" t="inlineStr">
        <is>
          <t>Amiri Manesh</t>
        </is>
      </c>
      <c r="D8" s="1" t="inlineStr">
        <is>
          <t>Existing</t>
        </is>
      </c>
      <c r="E8" s="2" t="inlineStr">
        <is>
          <t>Auction Time Pieces</t>
        </is>
      </c>
      <c r="F8" s="2" t="inlineStr">
        <is>
          <t>42-2190303</t>
        </is>
      </c>
      <c r="G8" s="2" t="inlineStr">
        <is>
          <t>24324 Walnut Steeer Suite B</t>
        </is>
      </c>
      <c r="H8" s="2" t="inlineStr">
        <is>
          <t>Newhall, CA 91321</t>
        </is>
      </c>
      <c r="I8" s="3" t="n">
        <v>2</v>
      </c>
      <c r="J8" s="3" t="inlineStr">
        <is>
          <t>Semi Monthly</t>
        </is>
      </c>
      <c r="K8" s="4" t="n">
        <v>24</v>
      </c>
      <c r="L8" s="24" t="n">
        <v>154.1</v>
      </c>
      <c r="M8" s="24">
        <f>K8*L8</f>
        <v/>
      </c>
      <c r="N8" s="6" t="n"/>
    </row>
    <row r="9">
      <c r="A9" s="1" t="n">
        <v>7</v>
      </c>
      <c r="B9" s="2" t="inlineStr">
        <is>
          <t xml:space="preserve">Robert </t>
        </is>
      </c>
      <c r="C9" s="2" t="inlineStr">
        <is>
          <t>Watson</t>
        </is>
      </c>
      <c r="D9" s="1" t="inlineStr">
        <is>
          <t>Existing</t>
        </is>
      </c>
      <c r="E9" s="2" t="inlineStr">
        <is>
          <t>Onchain Strategies LLC</t>
        </is>
      </c>
      <c r="F9" s="2" t="inlineStr">
        <is>
          <t>33-3282413</t>
        </is>
      </c>
      <c r="G9" s="2" t="inlineStr">
        <is>
          <t>655 Pyrite Will St</t>
        </is>
      </c>
      <c r="H9" s="2" t="inlineStr">
        <is>
          <t>Las Vegas, NV 89138</t>
        </is>
      </c>
      <c r="I9" s="3" t="n">
        <v>1</v>
      </c>
      <c r="J9" s="3" t="inlineStr">
        <is>
          <t>Monthly</t>
        </is>
      </c>
      <c r="K9" s="4" t="n">
        <v>12</v>
      </c>
      <c r="L9" s="24" t="n">
        <v>101</v>
      </c>
      <c r="M9" s="24">
        <f>K9*L9</f>
        <v/>
      </c>
      <c r="N9" s="6" t="inlineStr">
        <is>
          <t>Yes</t>
        </is>
      </c>
    </row>
    <row r="10">
      <c r="A10" s="1" t="n">
        <v>8</v>
      </c>
      <c r="B10" s="2" t="inlineStr">
        <is>
          <t xml:space="preserve">Dave </t>
        </is>
      </c>
      <c r="C10" s="2" t="inlineStr">
        <is>
          <t>Truscello</t>
        </is>
      </c>
      <c r="D10" s="1" t="inlineStr">
        <is>
          <t>Existing</t>
        </is>
      </c>
      <c r="E10" s="2" t="inlineStr">
        <is>
          <t>Backfin Logistics LLC</t>
        </is>
      </c>
      <c r="F10" s="2" t="inlineStr">
        <is>
          <t>33-4371485</t>
        </is>
      </c>
      <c r="G10" s="2" t="inlineStr">
        <is>
          <t>7921 SPRINGWAY RD</t>
        </is>
      </c>
      <c r="H10" s="2" t="inlineStr">
        <is>
          <t>Towson, MD 21204</t>
        </is>
      </c>
      <c r="I10" s="3" t="n">
        <v>3</v>
      </c>
      <c r="J10" s="3" t="inlineStr">
        <is>
          <t>Semi Monthly</t>
        </is>
      </c>
      <c r="K10" s="4" t="n">
        <v>24</v>
      </c>
      <c r="L10" s="24" t="n">
        <v>98.5</v>
      </c>
      <c r="M10" s="24">
        <f>K10*L10</f>
        <v/>
      </c>
      <c r="N10" s="6" t="n"/>
    </row>
    <row r="11">
      <c r="A11" s="1" t="n">
        <v>9</v>
      </c>
      <c r="B11" s="2" t="inlineStr">
        <is>
          <t>Niccolo</t>
        </is>
      </c>
      <c r="C11" s="2" t="inlineStr">
        <is>
          <t>Russino</t>
        </is>
      </c>
      <c r="D11" s="1" t="inlineStr">
        <is>
          <t>Existing</t>
        </is>
      </c>
      <c r="E11" s="2" t="inlineStr">
        <is>
          <t>Walters Mirrors Inc</t>
        </is>
      </c>
      <c r="F11" s="2" t="inlineStr">
        <is>
          <t>33-3877704</t>
        </is>
      </c>
      <c r="G11" s="2" t="inlineStr">
        <is>
          <t>1625 Cody, Ave</t>
        </is>
      </c>
      <c r="H11" s="2" t="inlineStr">
        <is>
          <t>Ridgewood, NY 11385-5733</t>
        </is>
      </c>
      <c r="I11" s="3" t="n">
        <v>3</v>
      </c>
      <c r="J11" s="3" t="inlineStr">
        <is>
          <t>Biweekly</t>
        </is>
      </c>
      <c r="K11" s="4" t="n">
        <v>26</v>
      </c>
      <c r="L11" s="24" t="n">
        <v>261.95</v>
      </c>
      <c r="M11" s="24">
        <f>K11*L11</f>
        <v/>
      </c>
      <c r="N11" s="6" t="inlineStr">
        <is>
          <t>Yes</t>
        </is>
      </c>
    </row>
    <row r="12">
      <c r="A12" s="1" t="n">
        <v>10</v>
      </c>
      <c r="B12" s="2" t="inlineStr">
        <is>
          <t>Spencer</t>
        </is>
      </c>
      <c r="C12" s="2" t="inlineStr">
        <is>
          <t>Thwaytes</t>
        </is>
      </c>
      <c r="D12" s="1" t="inlineStr">
        <is>
          <t>Existing</t>
        </is>
      </c>
      <c r="E12" s="2" t="inlineStr">
        <is>
          <t>Spencer Thwaytes &amp; Co LLC</t>
        </is>
      </c>
      <c r="F12" s="2" t="inlineStr">
        <is>
          <t>93-1357097</t>
        </is>
      </c>
      <c r="G12" s="2" t="inlineStr">
        <is>
          <t>1524 Bayview Drive</t>
        </is>
      </c>
      <c r="H12" s="2" t="inlineStr">
        <is>
          <t>Fort Lauderdale, FL 33304</t>
        </is>
      </c>
      <c r="I12" s="3" t="n">
        <v>3</v>
      </c>
      <c r="J12" s="3" t="inlineStr">
        <is>
          <t>Monthly</t>
        </is>
      </c>
      <c r="K12" s="4" t="n">
        <v>12</v>
      </c>
      <c r="L12" s="24" t="n">
        <v>77</v>
      </c>
      <c r="M12" s="24">
        <f>K12*L12</f>
        <v/>
      </c>
      <c r="N12" s="6" t="inlineStr">
        <is>
          <t>Yes</t>
        </is>
      </c>
    </row>
    <row r="13">
      <c r="A13" s="1" t="n">
        <v>11</v>
      </c>
      <c r="B13" s="2" t="inlineStr">
        <is>
          <t xml:space="preserve">Richard </t>
        </is>
      </c>
      <c r="C13" s="2" t="inlineStr">
        <is>
          <t>Zamilpa</t>
        </is>
      </c>
      <c r="D13" s="1" t="inlineStr">
        <is>
          <t>Existing</t>
        </is>
      </c>
      <c r="E13" s="2" t="inlineStr">
        <is>
          <t>Complete Merchant Services Consulting</t>
        </is>
      </c>
      <c r="F13" s="2" t="inlineStr">
        <is>
          <t>99-4630525</t>
        </is>
      </c>
      <c r="G13" s="2" t="inlineStr">
        <is>
          <t>6252 Isabel Cove Ave</t>
        </is>
      </c>
      <c r="H13" s="2" t="inlineStr">
        <is>
          <t xml:space="preserve"> Las Vegas NV 89139 </t>
        </is>
      </c>
      <c r="I13" s="3" t="n">
        <v>2</v>
      </c>
      <c r="J13" s="3" t="inlineStr">
        <is>
          <t>Monthly</t>
        </is>
      </c>
      <c r="K13" s="4" t="n">
        <v>12</v>
      </c>
      <c r="L13" s="24" t="n">
        <v>100</v>
      </c>
      <c r="M13" s="24">
        <f>K13*L13</f>
        <v/>
      </c>
      <c r="N13" s="6" t="inlineStr">
        <is>
          <t>Yes</t>
        </is>
      </c>
    </row>
    <row r="14">
      <c r="A14" s="1" t="n">
        <v>12</v>
      </c>
      <c r="B14" s="2" t="inlineStr">
        <is>
          <t xml:space="preserve">Frank </t>
        </is>
      </c>
      <c r="C14" s="2" t="inlineStr">
        <is>
          <t xml:space="preserve">Giordano </t>
        </is>
      </c>
      <c r="D14" s="1" t="inlineStr">
        <is>
          <t>Existing</t>
        </is>
      </c>
      <c r="E14" s="2" t="inlineStr">
        <is>
          <t>FRG Advisory, LLC</t>
        </is>
      </c>
      <c r="F14" s="2" t="inlineStr">
        <is>
          <t>40-0020506</t>
        </is>
      </c>
      <c r="G14" s="2" t="inlineStr">
        <is>
          <t>431 E 20th Street</t>
        </is>
      </c>
      <c r="H14" s="2" t="inlineStr">
        <is>
          <t>New York NY 10010</t>
        </is>
      </c>
      <c r="I14" s="3" t="n">
        <v>1</v>
      </c>
      <c r="J14" s="3" t="inlineStr">
        <is>
          <t>Monthly</t>
        </is>
      </c>
      <c r="K14" s="4" t="n">
        <v>12</v>
      </c>
      <c r="L14" s="24" t="n">
        <v>50</v>
      </c>
      <c r="M14" s="24">
        <f>K14*L14</f>
        <v/>
      </c>
      <c r="N14" s="6" t="inlineStr">
        <is>
          <t>Yes</t>
        </is>
      </c>
    </row>
    <row r="15">
      <c r="A15" s="1" t="n">
        <v>13</v>
      </c>
      <c r="B15" s="2" t="inlineStr">
        <is>
          <t>Benjamin</t>
        </is>
      </c>
      <c r="C15" s="2" t="inlineStr">
        <is>
          <t xml:space="preserve">Solomon </t>
        </is>
      </c>
      <c r="D15" s="1" t="inlineStr">
        <is>
          <t>Existing</t>
        </is>
      </c>
      <c r="E15" s="2" t="inlineStr">
        <is>
          <t>Broadway 2000, Inc</t>
        </is>
      </c>
      <c r="F15" s="2" t="inlineStr">
        <is>
          <t>85-3662838</t>
        </is>
      </c>
      <c r="G15" s="2" t="inlineStr">
        <is>
          <t>662 Driggs Avenue</t>
        </is>
      </c>
      <c r="H15" s="2" t="inlineStr">
        <is>
          <t>Brooklyn, NY 11211</t>
        </is>
      </c>
      <c r="I15" s="3" t="n">
        <v>1</v>
      </c>
      <c r="J15" s="3" t="inlineStr">
        <is>
          <t>Yearly</t>
        </is>
      </c>
      <c r="K15" s="4" t="n">
        <v>1</v>
      </c>
      <c r="L15" s="24" t="n">
        <v>400</v>
      </c>
      <c r="M15" s="24">
        <f>K15*L15</f>
        <v/>
      </c>
      <c r="N15" s="6" t="inlineStr">
        <is>
          <t>Yes</t>
        </is>
      </c>
    </row>
    <row r="16">
      <c r="A16" s="1" t="n"/>
      <c r="B16" s="2" t="n"/>
      <c r="C16" s="2" t="n"/>
      <c r="D16" s="1" t="n"/>
      <c r="E16" s="2" t="n"/>
      <c r="F16" s="2" t="n"/>
      <c r="G16" s="2" t="n"/>
      <c r="H16" s="2" t="n"/>
      <c r="I16" s="3" t="n"/>
      <c r="J16" s="3" t="n"/>
      <c r="K16" s="4" t="n"/>
      <c r="L16" s="27" t="n"/>
      <c r="M16" s="6" t="n"/>
      <c r="N16" s="6" t="n"/>
    </row>
    <row r="17">
      <c r="A17" s="1" t="n"/>
      <c r="B17" s="28" t="n"/>
      <c r="C17" s="2" t="n"/>
      <c r="D17" s="1" t="n"/>
      <c r="E17" s="2" t="n"/>
      <c r="F17" s="2" t="n"/>
      <c r="G17" s="2" t="n"/>
      <c r="H17" s="2" t="n"/>
      <c r="I17" s="3" t="n"/>
      <c r="J17" s="3" t="n"/>
      <c r="K17" s="4" t="n"/>
      <c r="L17" s="27" t="n"/>
      <c r="M17" s="6" t="n"/>
      <c r="N17" s="6" t="n"/>
    </row>
    <row r="18">
      <c r="A18" s="1" t="n"/>
      <c r="B18" s="28" t="n"/>
      <c r="C18" s="2" t="n"/>
      <c r="D18" s="1" t="n"/>
      <c r="E18" s="2" t="n"/>
      <c r="F18" s="2" t="n"/>
      <c r="G18" s="2" t="n"/>
      <c r="H18" s="2" t="n"/>
      <c r="I18" s="3" t="n"/>
      <c r="J18" s="3" t="n"/>
      <c r="K18" s="4" t="n"/>
      <c r="L18" s="27" t="n"/>
      <c r="M18" s="6" t="n"/>
      <c r="N18" s="6" t="n"/>
    </row>
    <row r="19">
      <c r="A19" s="1" t="n"/>
      <c r="B19" s="2" t="n"/>
      <c r="C19" s="2" t="n"/>
      <c r="D19" s="1" t="n"/>
      <c r="E19" s="2" t="n"/>
      <c r="F19" s="2" t="n"/>
      <c r="G19" s="2" t="n"/>
      <c r="H19" s="2" t="n"/>
      <c r="I19" s="3" t="n"/>
      <c r="J19" s="3" t="n"/>
      <c r="K19" s="4" t="n"/>
      <c r="L19" s="27" t="n"/>
      <c r="M19" s="6" t="n"/>
      <c r="N19" s="6" t="n"/>
    </row>
    <row r="20">
      <c r="A20" s="1" t="n"/>
      <c r="B20" s="2" t="n"/>
      <c r="C20" s="2" t="n"/>
      <c r="D20" s="1" t="n"/>
      <c r="E20" s="2" t="n"/>
      <c r="F20" s="2" t="n"/>
      <c r="G20" s="2" t="n"/>
      <c r="H20" s="2" t="n"/>
      <c r="I20" s="3" t="n"/>
      <c r="J20" s="3" t="n"/>
      <c r="K20" s="4" t="n"/>
      <c r="L20" s="27" t="n"/>
      <c r="M20" s="6" t="n"/>
      <c r="N20" s="6" t="n"/>
    </row>
    <row r="21">
      <c r="A21" s="1" t="n"/>
      <c r="B21" s="2" t="n"/>
      <c r="C21" s="2" t="n"/>
      <c r="D21" s="1" t="n"/>
      <c r="E21" s="2" t="n"/>
      <c r="F21" s="2" t="n"/>
      <c r="G21" s="2" t="n"/>
      <c r="H21" s="2" t="n"/>
      <c r="I21" s="3" t="n"/>
      <c r="J21" s="3" t="n"/>
      <c r="K21" s="4" t="n"/>
      <c r="L21" s="27" t="n"/>
      <c r="M21" s="6" t="n"/>
      <c r="N21" s="6" t="n"/>
    </row>
    <row r="22">
      <c r="A22" s="1" t="n"/>
      <c r="B22" s="2" t="n"/>
      <c r="C22" s="2" t="n"/>
      <c r="D22" s="1" t="n"/>
      <c r="E22" s="2" t="n"/>
      <c r="F22" s="2" t="n"/>
      <c r="G22" s="2" t="n"/>
      <c r="H22" s="2" t="n"/>
      <c r="I22" s="3" t="n"/>
      <c r="J22" s="3" t="n"/>
      <c r="K22" s="4" t="n"/>
      <c r="L22" s="27" t="n"/>
      <c r="M22" s="6" t="n"/>
      <c r="N22" s="6" t="n"/>
    </row>
    <row r="23">
      <c r="A23" s="1" t="n"/>
      <c r="B23" s="2" t="n"/>
      <c r="C23" s="2" t="n"/>
      <c r="D23" s="1" t="n"/>
      <c r="E23" s="2" t="n"/>
      <c r="F23" s="2" t="n"/>
      <c r="G23" s="2" t="n"/>
      <c r="H23" s="2" t="n"/>
      <c r="I23" s="3" t="n"/>
      <c r="J23" s="3" t="n"/>
      <c r="K23" s="4" t="n"/>
      <c r="L23" s="27" t="n"/>
      <c r="M23" s="6" t="n"/>
      <c r="N23" s="6" t="n"/>
    </row>
    <row r="24">
      <c r="A24" s="1" t="n"/>
      <c r="B24" s="2" t="n"/>
      <c r="C24" s="2" t="n"/>
      <c r="D24" s="1" t="n"/>
      <c r="E24" s="2" t="n"/>
      <c r="F24" s="2" t="n"/>
      <c r="G24" s="2" t="n"/>
      <c r="H24" s="2" t="n"/>
      <c r="I24" s="3" t="n"/>
      <c r="J24" s="3" t="n"/>
      <c r="K24" s="4" t="n"/>
      <c r="L24" s="27" t="n"/>
      <c r="M24" s="6" t="n"/>
      <c r="N24" s="6" t="n"/>
    </row>
    <row r="25">
      <c r="A25" s="1" t="n"/>
      <c r="B25" s="2" t="n"/>
      <c r="C25" s="2" t="n"/>
      <c r="D25" s="1" t="n"/>
      <c r="E25" s="2" t="n"/>
      <c r="F25" s="2" t="n"/>
      <c r="G25" s="2" t="n"/>
      <c r="H25" s="2" t="n"/>
      <c r="I25" s="3" t="n"/>
      <c r="J25" s="3" t="n"/>
      <c r="K25" s="4" t="n"/>
      <c r="L25" s="27" t="n"/>
      <c r="M25" s="6" t="n"/>
      <c r="N25" s="6" t="n"/>
    </row>
    <row r="26">
      <c r="A26" s="1" t="n"/>
      <c r="B26" s="2" t="n"/>
      <c r="C26" s="2" t="n"/>
      <c r="D26" s="1" t="n"/>
      <c r="E26" s="2" t="n"/>
      <c r="F26" s="2" t="n"/>
      <c r="G26" s="2" t="n"/>
      <c r="H26" s="2" t="n"/>
      <c r="I26" s="3" t="n"/>
      <c r="J26" s="3" t="n"/>
      <c r="K26" s="4" t="n"/>
      <c r="L26" s="27" t="n"/>
      <c r="M26" s="6" t="n"/>
      <c r="N26" s="6" t="n"/>
    </row>
    <row r="27">
      <c r="A27" s="1" t="n"/>
      <c r="B27" s="2" t="n"/>
      <c r="C27" s="2" t="n"/>
      <c r="D27" s="1" t="n"/>
      <c r="E27" s="2" t="n"/>
      <c r="F27" s="2" t="n"/>
      <c r="G27" s="2" t="n"/>
      <c r="H27" s="2" t="n"/>
      <c r="I27" s="3" t="n"/>
      <c r="J27" s="3" t="n"/>
      <c r="K27" s="4" t="n"/>
      <c r="L27" s="27" t="n"/>
      <c r="M27" s="6" t="n"/>
      <c r="N27" s="6" t="n"/>
    </row>
    <row r="28">
      <c r="A28" s="1" t="n"/>
      <c r="B28" s="2" t="n"/>
      <c r="C28" s="1" t="n"/>
      <c r="D28" s="1" t="n"/>
      <c r="E28" s="2" t="n"/>
      <c r="F28" s="2" t="n"/>
      <c r="G28" s="2" t="n"/>
      <c r="H28" s="2" t="n"/>
      <c r="I28" s="3" t="n"/>
      <c r="J28" s="3" t="n"/>
      <c r="K28" s="4" t="n"/>
      <c r="L28" s="27" t="n"/>
      <c r="M28" s="6" t="n"/>
      <c r="N28" s="6" t="n"/>
    </row>
    <row r="29" ht="15.75" customHeight="1" thickBot="1">
      <c r="A29" s="1" t="n">
        <v>27</v>
      </c>
      <c r="B29" s="1" t="n"/>
      <c r="C29" s="1" t="n"/>
      <c r="D29" s="1" t="n"/>
      <c r="E29" s="2" t="n"/>
      <c r="F29" s="2" t="n"/>
      <c r="G29" s="2" t="n"/>
      <c r="H29" s="2" t="n"/>
      <c r="I29" s="3" t="n"/>
      <c r="J29" s="3" t="n"/>
      <c r="K29" s="4" t="n"/>
      <c r="L29" s="29" t="inlineStr">
        <is>
          <t>Total</t>
        </is>
      </c>
      <c r="M29" s="12">
        <f>SUM(M3:M15)</f>
        <v/>
      </c>
      <c r="N29" s="6" t="n"/>
    </row>
    <row r="30" ht="15.75" customHeight="1" thickTop="1">
      <c r="A30" s="1" t="n"/>
      <c r="B30" s="1" t="n"/>
      <c r="C30" s="1" t="n"/>
      <c r="D30" s="1" t="n"/>
      <c r="E30" s="2" t="n"/>
      <c r="F30" s="2" t="n"/>
      <c r="G30" s="2" t="n"/>
      <c r="H30" s="2" t="n"/>
      <c r="I30" s="3" t="n"/>
      <c r="J30" s="3" t="n"/>
      <c r="K30" s="4" t="n"/>
      <c r="L30" s="29" t="n"/>
      <c r="M30" s="11" t="n"/>
      <c r="N30" s="6" t="n"/>
    </row>
    <row r="31" ht="15.75" customHeight="1" thickBot="1">
      <c r="A31" s="1" t="n">
        <v>29</v>
      </c>
      <c r="B31" s="1" t="n"/>
      <c r="C31" s="1" t="n"/>
      <c r="D31" s="1" t="n"/>
      <c r="E31" s="2" t="n"/>
      <c r="F31" s="2" t="n"/>
      <c r="G31" s="2" t="n"/>
      <c r="H31" s="2" t="n"/>
      <c r="I31" s="3" t="n"/>
      <c r="J31" s="3" t="n"/>
      <c r="K31" s="4" t="n"/>
      <c r="L31" s="29" t="inlineStr">
        <is>
          <t>Multiplier</t>
        </is>
      </c>
      <c r="M31" s="12">
        <f>M29*2</f>
        <v/>
      </c>
      <c r="N31" s="6" t="n"/>
    </row>
    <row r="32" ht="15.75" customHeight="1" thickTop="1">
      <c r="A32" s="1" t="n"/>
      <c r="B32" s="1" t="n"/>
      <c r="C32" s="1" t="n"/>
      <c r="D32" s="1" t="n"/>
      <c r="E32" s="2" t="n"/>
      <c r="F32" s="2" t="n"/>
      <c r="G32" s="2" t="n"/>
      <c r="H32" s="2" t="n"/>
      <c r="I32" s="3" t="n"/>
      <c r="J32" s="3" t="n"/>
      <c r="K32" s="4" t="n"/>
      <c r="L32" s="27" t="n"/>
      <c r="M32" s="11" t="n"/>
      <c r="N32" s="6" t="n"/>
    </row>
    <row r="33">
      <c r="A33" s="1" t="n"/>
      <c r="B33" s="1" t="n"/>
      <c r="C33" s="1" t="n"/>
      <c r="D33" s="1" t="n"/>
      <c r="E33" s="2" t="n"/>
      <c r="F33" s="2" t="n"/>
      <c r="G33" s="2" t="n"/>
      <c r="H33" s="2" t="n"/>
      <c r="I33" s="3" t="n"/>
      <c r="J33" s="3" t="n"/>
      <c r="K33" s="4" t="n"/>
      <c r="L33" s="27" t="n"/>
      <c r="M33" s="6" t="n"/>
      <c r="N33" s="6" t="n"/>
    </row>
    <row r="34">
      <c r="A34" s="1" t="n"/>
      <c r="B34" s="1" t="n"/>
      <c r="C34" s="1" t="n"/>
      <c r="D34" s="1" t="n"/>
      <c r="E34" s="2" t="n"/>
      <c r="F34" s="2" t="n"/>
      <c r="G34" s="2" t="n"/>
      <c r="H34" s="2" t="n"/>
      <c r="I34" s="3" t="n"/>
      <c r="J34" s="3" t="n"/>
      <c r="K34" s="4" t="n"/>
      <c r="L34" s="27" t="n"/>
      <c r="M34" s="6" t="n"/>
      <c r="N34" s="6" t="n"/>
    </row>
    <row r="35">
      <c r="A35" s="1" t="n"/>
      <c r="B35" s="1" t="n"/>
      <c r="C35" s="1" t="n"/>
      <c r="D35" s="1" t="n"/>
      <c r="E35" s="2" t="n"/>
      <c r="F35" s="2" t="n"/>
      <c r="G35" s="2" t="n"/>
      <c r="H35" s="2" t="n"/>
      <c r="I35" s="3" t="n"/>
      <c r="J35" s="3" t="n"/>
      <c r="K35" s="4" t="n"/>
      <c r="L35" s="27" t="n"/>
      <c r="M35" s="6" t="n"/>
      <c r="N35" s="6" t="n"/>
    </row>
    <row r="36">
      <c r="A36" s="1" t="n"/>
      <c r="B36" s="1" t="n"/>
      <c r="C36" s="1" t="n"/>
      <c r="D36" s="1" t="n"/>
      <c r="E36" s="2" t="n"/>
      <c r="F36" s="2" t="n"/>
      <c r="G36" s="2" t="n"/>
      <c r="H36" s="2" t="n"/>
      <c r="I36" s="3" t="n"/>
      <c r="J36" s="3" t="n"/>
      <c r="K36" s="4" t="n"/>
      <c r="L36" s="27" t="n"/>
      <c r="M36" s="6" t="n"/>
      <c r="N36" s="6" t="n"/>
    </row>
    <row r="37">
      <c r="A37" s="1" t="n"/>
      <c r="B37" s="1" t="n"/>
      <c r="C37" s="1" t="n"/>
      <c r="D37" s="1" t="n"/>
      <c r="E37" s="2" t="n"/>
      <c r="F37" s="2" t="n"/>
      <c r="G37" s="2" t="n"/>
      <c r="H37" s="2" t="n"/>
      <c r="I37" s="3" t="n"/>
      <c r="J37" s="3" t="n"/>
      <c r="K37" s="4" t="n"/>
      <c r="L37" s="27" t="n"/>
      <c r="M37" s="6" t="n"/>
      <c r="N37" s="6" t="n"/>
    </row>
    <row r="38">
      <c r="A38" s="1" t="n"/>
      <c r="B38" s="1" t="n"/>
      <c r="C38" s="1" t="n"/>
      <c r="D38" s="1" t="n"/>
      <c r="E38" s="2" t="n"/>
      <c r="F38" s="2" t="n"/>
      <c r="G38" s="2" t="n"/>
      <c r="H38" s="2" t="n"/>
      <c r="I38" s="3" t="n"/>
      <c r="J38" s="3" t="n"/>
      <c r="K38" s="4" t="n"/>
      <c r="L38" s="27" t="n"/>
      <c r="M38" s="6" t="n"/>
      <c r="N38" s="6" t="n"/>
    </row>
    <row r="39">
      <c r="A39" s="1" t="n"/>
      <c r="B39" s="1" t="n"/>
      <c r="C39" s="1" t="n"/>
      <c r="D39" s="1" t="n"/>
      <c r="E39" s="2" t="n"/>
      <c r="F39" s="2" t="n"/>
      <c r="G39" s="2" t="n"/>
      <c r="H39" s="2" t="n"/>
      <c r="I39" s="3" t="n"/>
      <c r="J39" s="3" t="n"/>
      <c r="K39" s="4" t="n"/>
      <c r="L39" s="27" t="n"/>
      <c r="M39" s="6" t="n"/>
      <c r="N39" s="6" t="n"/>
    </row>
    <row r="40">
      <c r="A40" s="1" t="n"/>
      <c r="B40" s="1" t="n"/>
      <c r="C40" s="1" t="n"/>
      <c r="D40" s="1" t="n"/>
      <c r="E40" s="2" t="n"/>
      <c r="F40" s="2" t="n"/>
      <c r="G40" s="2" t="n"/>
      <c r="H40" s="2" t="n"/>
      <c r="I40" s="3" t="n"/>
      <c r="J40" s="3" t="n"/>
      <c r="K40" s="4" t="n"/>
      <c r="L40" s="27" t="n"/>
      <c r="M40" s="6" t="n"/>
      <c r="N40" s="6" t="n"/>
    </row>
    <row r="41">
      <c r="A41" s="1" t="n"/>
      <c r="B41" s="1" t="n"/>
      <c r="C41" s="1" t="n"/>
      <c r="D41" s="1" t="n"/>
      <c r="E41" s="2" t="n"/>
      <c r="F41" s="2" t="n"/>
      <c r="G41" s="2" t="n"/>
      <c r="H41" s="2" t="n"/>
      <c r="I41" s="3" t="n"/>
      <c r="J41" s="3" t="n"/>
      <c r="K41" s="4" t="n"/>
      <c r="L41" s="27" t="n"/>
      <c r="M41" s="6" t="n"/>
      <c r="N41" s="6" t="n"/>
    </row>
    <row r="42">
      <c r="A42" s="1" t="n"/>
      <c r="B42" s="1" t="n"/>
      <c r="C42" s="1" t="n"/>
      <c r="D42" s="1" t="n"/>
      <c r="E42" s="2" t="n"/>
      <c r="F42" s="2" t="n"/>
      <c r="G42" s="2" t="n"/>
      <c r="H42" s="2" t="n"/>
      <c r="I42" s="3" t="n"/>
      <c r="J42" s="3" t="n"/>
      <c r="K42" s="4" t="n"/>
      <c r="L42" s="27" t="n"/>
      <c r="M42" s="6" t="n"/>
      <c r="N42" s="6" t="n"/>
    </row>
    <row r="43">
      <c r="A43" s="1" t="n"/>
      <c r="B43" s="1" t="n"/>
      <c r="C43" s="1" t="n"/>
      <c r="D43" s="1" t="n"/>
      <c r="E43" s="2" t="n"/>
      <c r="F43" s="2" t="n"/>
      <c r="G43" s="2" t="n"/>
      <c r="H43" s="2" t="n"/>
      <c r="I43" s="3" t="n"/>
      <c r="J43" s="3" t="n"/>
      <c r="K43" s="4" t="n"/>
      <c r="L43" s="27" t="n"/>
      <c r="M43" s="6" t="n"/>
      <c r="N43" s="6" t="n"/>
    </row>
    <row r="44">
      <c r="A44" s="1" t="n"/>
      <c r="B44" s="1" t="n"/>
      <c r="C44" s="1" t="n"/>
      <c r="D44" s="1" t="n"/>
      <c r="E44" s="2" t="n"/>
      <c r="F44" s="2" t="n"/>
      <c r="G44" s="2" t="n"/>
      <c r="H44" s="2" t="n"/>
      <c r="I44" s="3" t="n"/>
      <c r="J44" s="3" t="n"/>
      <c r="K44" s="4" t="n"/>
      <c r="L44" s="27" t="n"/>
      <c r="M44" s="6" t="n"/>
      <c r="N44" s="6" t="n"/>
    </row>
    <row r="45">
      <c r="A45" s="1" t="n"/>
      <c r="B45" s="1" t="n"/>
      <c r="C45" s="1" t="n"/>
      <c r="D45" s="1" t="n"/>
      <c r="E45" s="2" t="n"/>
      <c r="F45" s="2" t="n"/>
      <c r="G45" s="2" t="n"/>
      <c r="H45" s="2" t="n"/>
      <c r="I45" s="3" t="n"/>
      <c r="J45" s="3" t="n"/>
      <c r="K45" s="4" t="n"/>
      <c r="L45" s="4" t="n"/>
      <c r="M45" s="6" t="n"/>
      <c r="N45" s="6" t="n"/>
    </row>
    <row r="46">
      <c r="A46" s="1" t="n"/>
      <c r="B46" s="1" t="n"/>
      <c r="C46" s="1" t="n"/>
      <c r="D46" s="1" t="n"/>
      <c r="E46" s="2" t="n"/>
      <c r="F46" s="2" t="n"/>
      <c r="G46" s="2" t="n"/>
      <c r="H46" s="2" t="n"/>
      <c r="I46" s="3" t="n"/>
      <c r="J46" s="3" t="n"/>
      <c r="K46" s="4" t="n"/>
      <c r="L46" s="4" t="n"/>
      <c r="M46" s="6" t="n"/>
      <c r="N46" s="6" t="n"/>
    </row>
    <row r="47">
      <c r="A47" s="1" t="n"/>
      <c r="B47" s="1" t="n"/>
      <c r="C47" s="1" t="n"/>
      <c r="D47" s="1" t="n"/>
      <c r="E47" s="2" t="n"/>
      <c r="F47" s="2" t="n"/>
      <c r="G47" s="2" t="n"/>
      <c r="H47" s="2" t="n"/>
      <c r="I47" s="3" t="n"/>
      <c r="J47" s="3" t="n"/>
      <c r="K47" s="4" t="n"/>
      <c r="L47" s="4" t="n"/>
      <c r="M47" s="6" t="n"/>
      <c r="N47" s="6" t="n"/>
    </row>
    <row r="48">
      <c r="A48" s="1" t="n"/>
      <c r="B48" s="1" t="n"/>
      <c r="C48" s="1" t="n"/>
      <c r="D48" s="1" t="n"/>
      <c r="E48" s="2" t="n"/>
      <c r="F48" s="2" t="n"/>
      <c r="G48" s="2" t="n"/>
      <c r="H48" s="2" t="n"/>
      <c r="I48" s="3" t="n"/>
      <c r="J48" s="3" t="n"/>
      <c r="K48" s="4" t="n"/>
      <c r="L48" s="4" t="n"/>
      <c r="M48" s="6" t="n"/>
      <c r="N48" s="6" t="n"/>
    </row>
    <row r="49">
      <c r="A49" s="1" t="n"/>
      <c r="B49" s="1" t="n"/>
      <c r="C49" s="1" t="n"/>
      <c r="D49" s="1" t="n"/>
      <c r="E49" s="2" t="n"/>
      <c r="F49" s="2" t="n"/>
      <c r="G49" s="2" t="n"/>
      <c r="H49" s="2" t="n"/>
      <c r="I49" s="3" t="n"/>
      <c r="J49" s="3" t="n"/>
      <c r="K49" s="4" t="n"/>
      <c r="L49" s="4" t="n"/>
      <c r="M49" s="6" t="n"/>
      <c r="N49" s="6" t="n"/>
    </row>
    <row r="50">
      <c r="A50" s="1" t="n"/>
      <c r="B50" s="1" t="n"/>
      <c r="C50" s="1" t="n"/>
      <c r="D50" s="1" t="n"/>
      <c r="E50" s="2" t="n"/>
      <c r="F50" s="2" t="n"/>
      <c r="G50" s="2" t="n"/>
      <c r="H50" s="2" t="n"/>
      <c r="I50" s="3" t="n"/>
      <c r="J50" s="3" t="n"/>
      <c r="K50" s="4" t="n"/>
      <c r="L50" s="4" t="n"/>
      <c r="M50" s="6" t="n"/>
      <c r="N50" s="6" t="n"/>
    </row>
    <row r="51">
      <c r="A51" s="1" t="n"/>
      <c r="B51" s="1" t="n"/>
      <c r="C51" s="1" t="n"/>
      <c r="D51" s="1" t="n"/>
      <c r="E51" s="2" t="n"/>
      <c r="F51" s="2" t="n"/>
      <c r="G51" s="2" t="n"/>
      <c r="H51" s="2" t="n"/>
      <c r="I51" s="3" t="n"/>
      <c r="J51" s="3" t="n"/>
      <c r="K51" s="4" t="n"/>
      <c r="L51" s="4" t="n"/>
      <c r="M51" s="6" t="n"/>
      <c r="N51" s="6" t="n"/>
    </row>
    <row r="52">
      <c r="A52" s="1" t="n"/>
      <c r="B52" s="1" t="n"/>
      <c r="C52" s="1" t="n"/>
      <c r="D52" s="1" t="n"/>
      <c r="E52" s="2" t="n"/>
      <c r="F52" s="2" t="n"/>
      <c r="G52" s="2" t="n"/>
      <c r="H52" s="2" t="n"/>
      <c r="I52" s="3" t="n"/>
      <c r="J52" s="3" t="n"/>
      <c r="K52" s="4" t="n"/>
      <c r="L52" s="4" t="n"/>
      <c r="M52" s="6" t="n"/>
      <c r="N52" s="6" t="n"/>
    </row>
    <row r="53">
      <c r="A53" s="1" t="n"/>
      <c r="B53" s="1" t="n"/>
      <c r="C53" s="1" t="n"/>
      <c r="D53" s="1" t="n"/>
      <c r="E53" s="2" t="n"/>
      <c r="F53" s="2" t="n"/>
      <c r="G53" s="2" t="n"/>
      <c r="H53" s="2" t="n"/>
      <c r="I53" s="3" t="n"/>
      <c r="J53" s="3" t="n"/>
      <c r="K53" s="4" t="n"/>
      <c r="L53" s="4" t="n"/>
      <c r="M53" s="6" t="n"/>
      <c r="N53" s="6" t="n"/>
    </row>
    <row r="54">
      <c r="A54" s="1" t="n"/>
      <c r="B54" s="1" t="n"/>
      <c r="C54" s="1" t="n"/>
      <c r="D54" s="1" t="n"/>
      <c r="E54" s="2" t="n"/>
      <c r="F54" s="2" t="n"/>
      <c r="G54" s="2" t="n"/>
      <c r="H54" s="2" t="n"/>
      <c r="I54" s="3" t="n"/>
      <c r="J54" s="3" t="n"/>
      <c r="K54" s="4" t="n"/>
      <c r="L54" s="4" t="n"/>
      <c r="M54" s="6" t="n"/>
      <c r="N54" s="6" t="n"/>
    </row>
    <row r="55">
      <c r="A55" s="1" t="n"/>
      <c r="B55" s="1" t="n"/>
      <c r="C55" s="1" t="n"/>
      <c r="D55" s="1" t="n"/>
      <c r="E55" s="2" t="n"/>
      <c r="F55" s="2" t="n"/>
      <c r="G55" s="2" t="n"/>
      <c r="H55" s="2" t="n"/>
      <c r="I55" s="3" t="n"/>
      <c r="J55" s="3" t="n"/>
      <c r="K55" s="4" t="n"/>
      <c r="L55" s="4" t="n"/>
      <c r="M55" s="6" t="n"/>
      <c r="N55" s="6" t="n"/>
    </row>
    <row r="56">
      <c r="A56" s="1" t="n"/>
      <c r="B56" s="1" t="n"/>
      <c r="C56" s="1" t="n"/>
      <c r="D56" s="1" t="n"/>
      <c r="E56" s="2" t="n"/>
      <c r="F56" s="2" t="n"/>
      <c r="G56" s="2" t="n"/>
      <c r="H56" s="2" t="n"/>
      <c r="I56" s="3" t="n"/>
      <c r="J56" s="3" t="n"/>
      <c r="K56" s="4" t="n"/>
      <c r="L56" s="4" t="n"/>
      <c r="M56" s="6" t="n"/>
      <c r="N56" s="6" t="n"/>
    </row>
    <row r="57">
      <c r="A57" s="1" t="n"/>
      <c r="B57" s="1" t="n"/>
      <c r="C57" s="1" t="n"/>
      <c r="D57" s="1" t="n"/>
      <c r="E57" s="2" t="n"/>
      <c r="F57" s="2" t="n"/>
      <c r="G57" s="2" t="n"/>
      <c r="H57" s="2" t="n"/>
      <c r="I57" s="3" t="n"/>
      <c r="J57" s="3" t="n"/>
      <c r="K57" s="4" t="n"/>
      <c r="L57" s="4" t="n"/>
      <c r="M57" s="6" t="n"/>
      <c r="N57" s="6" t="n"/>
    </row>
    <row r="58">
      <c r="A58" s="1" t="n"/>
      <c r="B58" s="1" t="n"/>
      <c r="C58" s="1" t="n"/>
      <c r="D58" s="1" t="n"/>
      <c r="E58" s="2" t="n"/>
      <c r="F58" s="2" t="n"/>
      <c r="G58" s="2" t="n"/>
      <c r="H58" s="2" t="n"/>
      <c r="I58" s="3" t="n"/>
      <c r="J58" s="3" t="n"/>
      <c r="K58" s="4" t="n"/>
      <c r="L58" s="4" t="n"/>
      <c r="M58" s="6" t="n"/>
      <c r="N58" s="6" t="n"/>
    </row>
    <row r="59">
      <c r="A59" s="1" t="n"/>
      <c r="B59" s="1" t="n"/>
      <c r="C59" s="1" t="n"/>
      <c r="D59" s="1" t="n"/>
      <c r="E59" s="2" t="n"/>
      <c r="F59" s="2" t="n"/>
      <c r="G59" s="2" t="n"/>
      <c r="H59" s="2" t="n"/>
      <c r="I59" s="3" t="n"/>
      <c r="J59" s="3" t="n"/>
      <c r="K59" s="4" t="n"/>
      <c r="L59" s="4" t="n"/>
      <c r="M59" s="6" t="n"/>
      <c r="N59" s="6" t="n"/>
    </row>
    <row r="60">
      <c r="A60" s="1" t="n"/>
      <c r="B60" s="1" t="n"/>
      <c r="C60" s="1" t="n"/>
      <c r="D60" s="1" t="n"/>
      <c r="E60" s="2" t="n"/>
      <c r="F60" s="2" t="n"/>
      <c r="G60" s="2" t="n"/>
      <c r="H60" s="2" t="n"/>
      <c r="I60" s="3" t="n"/>
      <c r="J60" s="3" t="n"/>
      <c r="K60" s="4" t="n"/>
      <c r="L60" s="4" t="n"/>
      <c r="M60" s="6" t="n"/>
      <c r="N60" s="6" t="n"/>
    </row>
    <row r="61">
      <c r="A61" s="1" t="n"/>
      <c r="B61" s="1" t="n"/>
      <c r="C61" s="1" t="n"/>
      <c r="D61" s="1" t="n"/>
      <c r="E61" s="2" t="n"/>
      <c r="F61" s="2" t="n"/>
      <c r="G61" s="2" t="n"/>
      <c r="H61" s="2" t="n"/>
      <c r="I61" s="3" t="n"/>
      <c r="J61" s="3" t="n"/>
      <c r="K61" s="4" t="n"/>
      <c r="L61" s="4" t="n"/>
      <c r="M61" s="6" t="n"/>
      <c r="N61" s="6" t="n"/>
    </row>
    <row r="62">
      <c r="A62" s="1" t="n"/>
      <c r="B62" s="1" t="n"/>
      <c r="C62" s="1" t="n"/>
      <c r="D62" s="1" t="n"/>
      <c r="E62" s="2" t="n"/>
      <c r="F62" s="2" t="n"/>
      <c r="G62" s="2" t="n"/>
      <c r="H62" s="2" t="n"/>
      <c r="I62" s="3" t="n"/>
      <c r="J62" s="3" t="n"/>
      <c r="K62" s="4" t="n"/>
      <c r="L62" s="4" t="n"/>
      <c r="M62" s="6" t="n"/>
      <c r="N62" s="6" t="n"/>
    </row>
    <row r="63">
      <c r="A63" s="1" t="n"/>
      <c r="B63" s="1" t="n"/>
      <c r="C63" s="1" t="n"/>
      <c r="D63" s="1" t="n"/>
      <c r="E63" s="2" t="n"/>
      <c r="F63" s="2" t="n"/>
      <c r="G63" s="2" t="n"/>
      <c r="H63" s="2" t="n"/>
      <c r="I63" s="3" t="n"/>
      <c r="J63" s="3" t="n"/>
      <c r="K63" s="4" t="n"/>
      <c r="L63" s="4" t="n"/>
      <c r="M63" s="6" t="n"/>
      <c r="N63" s="6" t="n"/>
    </row>
    <row r="64">
      <c r="A64" s="1" t="n"/>
      <c r="B64" s="1" t="n"/>
      <c r="C64" s="1" t="n"/>
      <c r="D64" s="1" t="n"/>
      <c r="E64" s="2" t="n"/>
      <c r="F64" s="2" t="n"/>
      <c r="G64" s="2" t="n"/>
      <c r="H64" s="2" t="n"/>
      <c r="I64" s="3" t="n"/>
      <c r="J64" s="3" t="n"/>
      <c r="K64" s="4" t="n"/>
      <c r="L64" s="4" t="n"/>
      <c r="M64" s="6" t="n"/>
      <c r="N64" s="6" t="n"/>
    </row>
    <row r="65">
      <c r="A65" s="1" t="n"/>
      <c r="B65" s="1" t="n"/>
      <c r="C65" s="1" t="n"/>
      <c r="D65" s="1" t="n"/>
      <c r="E65" s="2" t="n"/>
      <c r="F65" s="2" t="n"/>
      <c r="G65" s="2" t="n"/>
      <c r="H65" s="2" t="n"/>
      <c r="I65" s="3" t="n"/>
      <c r="J65" s="3" t="n"/>
      <c r="K65" s="4" t="n"/>
      <c r="L65" s="4" t="n"/>
      <c r="M65" s="6" t="n"/>
      <c r="N65" s="6" t="n"/>
    </row>
    <row r="66">
      <c r="A66" s="1" t="n"/>
      <c r="B66" s="1" t="n"/>
      <c r="C66" s="1" t="n"/>
      <c r="D66" s="1" t="n"/>
      <c r="E66" s="2" t="n"/>
      <c r="F66" s="2" t="n"/>
      <c r="G66" s="2" t="n"/>
      <c r="H66" s="2" t="n"/>
      <c r="I66" s="3" t="n"/>
      <c r="J66" s="3" t="n"/>
      <c r="K66" s="4" t="n"/>
      <c r="L66" s="4" t="n"/>
      <c r="M66" s="6" t="n"/>
      <c r="N66" s="6" t="n"/>
    </row>
    <row r="67">
      <c r="A67" s="1" t="n"/>
      <c r="B67" s="1" t="n"/>
      <c r="C67" s="1" t="n"/>
      <c r="D67" s="1" t="n"/>
      <c r="E67" s="2" t="n"/>
      <c r="F67" s="2" t="n"/>
      <c r="G67" s="2" t="n"/>
      <c r="H67" s="2" t="n"/>
      <c r="I67" s="3" t="n"/>
      <c r="J67" s="3" t="n"/>
      <c r="K67" s="4" t="n"/>
      <c r="L67" s="4" t="n"/>
      <c r="M67" s="6" t="n"/>
      <c r="N67" s="6" t="n"/>
    </row>
    <row r="68">
      <c r="A68" s="1" t="n"/>
      <c r="B68" s="1" t="n"/>
      <c r="C68" s="1" t="n"/>
      <c r="D68" s="1" t="n"/>
      <c r="E68" s="2" t="n"/>
      <c r="F68" s="2" t="n"/>
      <c r="G68" s="2" t="n"/>
      <c r="H68" s="2" t="n"/>
      <c r="I68" s="3" t="n"/>
      <c r="J68" s="3" t="n"/>
      <c r="K68" s="4" t="n"/>
      <c r="L68" s="4" t="n"/>
      <c r="M68" s="6" t="n"/>
      <c r="N68" s="6" t="n"/>
    </row>
    <row r="69">
      <c r="A69" s="1" t="n"/>
      <c r="B69" s="1" t="n"/>
      <c r="C69" s="1" t="n"/>
      <c r="D69" s="1" t="n"/>
      <c r="E69" s="2" t="n"/>
      <c r="F69" s="2" t="n"/>
      <c r="G69" s="2" t="n"/>
      <c r="H69" s="2" t="n"/>
      <c r="I69" s="3" t="n"/>
      <c r="J69" s="3" t="n"/>
      <c r="K69" s="4" t="n"/>
      <c r="L69" s="4" t="n"/>
      <c r="M69" s="6" t="n"/>
      <c r="N69" s="6" t="n"/>
    </row>
    <row r="70">
      <c r="A70" s="1" t="n"/>
      <c r="B70" s="1" t="n"/>
      <c r="C70" s="1" t="n"/>
      <c r="D70" s="1" t="n"/>
      <c r="E70" s="2" t="n"/>
      <c r="F70" s="2" t="n"/>
      <c r="G70" s="2" t="n"/>
      <c r="H70" s="2" t="n"/>
      <c r="I70" s="3" t="n"/>
      <c r="J70" s="3" t="n"/>
      <c r="K70" s="4" t="n"/>
      <c r="L70" s="4" t="n"/>
      <c r="M70" s="6" t="n"/>
      <c r="N70" s="6" t="n"/>
    </row>
    <row r="71">
      <c r="A71" s="1" t="n"/>
      <c r="B71" s="1" t="n"/>
      <c r="C71" s="1" t="n"/>
      <c r="D71" s="1" t="n"/>
      <c r="E71" s="2" t="n"/>
      <c r="F71" s="2" t="n"/>
      <c r="G71" s="2" t="n"/>
      <c r="H71" s="2" t="n"/>
      <c r="I71" s="3" t="n"/>
      <c r="J71" s="3" t="n"/>
      <c r="K71" s="4" t="n"/>
      <c r="L71" s="4" t="n"/>
      <c r="M71" s="6" t="n"/>
      <c r="N71" s="6" t="n"/>
    </row>
    <row r="72">
      <c r="A72" s="1" t="n"/>
      <c r="B72" s="1" t="n"/>
      <c r="C72" s="1" t="n"/>
      <c r="D72" s="1" t="n"/>
      <c r="E72" s="2" t="n"/>
      <c r="F72" s="2" t="n"/>
      <c r="G72" s="2" t="n"/>
      <c r="H72" s="2" t="n"/>
      <c r="I72" s="3" t="n"/>
      <c r="J72" s="3" t="n"/>
      <c r="K72" s="4" t="n"/>
      <c r="L72" s="4" t="n"/>
      <c r="M72" s="6" t="n"/>
      <c r="N72" s="6" t="n"/>
    </row>
    <row r="73">
      <c r="A73" s="1" t="n"/>
      <c r="B73" s="1" t="n"/>
      <c r="C73" s="1" t="n"/>
      <c r="D73" s="1" t="n"/>
      <c r="E73" s="2" t="n"/>
      <c r="F73" s="2" t="n"/>
      <c r="G73" s="2" t="n"/>
      <c r="H73" s="2" t="n"/>
      <c r="I73" s="3" t="n"/>
      <c r="J73" s="3" t="n"/>
      <c r="K73" s="4" t="n"/>
      <c r="L73" s="4" t="n"/>
      <c r="M73" s="6" t="n"/>
      <c r="N73" s="6" t="n"/>
    </row>
    <row r="74">
      <c r="A74" s="1" t="n"/>
      <c r="B74" s="1" t="n"/>
      <c r="C74" s="1" t="n"/>
      <c r="D74" s="1" t="n"/>
      <c r="E74" s="2" t="n"/>
      <c r="F74" s="2" t="n"/>
      <c r="G74" s="2" t="n"/>
      <c r="H74" s="2" t="n"/>
      <c r="I74" s="3" t="n"/>
      <c r="J74" s="3" t="n"/>
      <c r="K74" s="4" t="n"/>
      <c r="L74" s="4" t="n"/>
      <c r="M74" s="6" t="n"/>
      <c r="N74" s="6" t="n"/>
    </row>
    <row r="75">
      <c r="A75" s="1" t="n"/>
      <c r="B75" s="1" t="n"/>
      <c r="C75" s="1" t="n"/>
      <c r="D75" s="1" t="n"/>
      <c r="E75" s="2" t="n"/>
      <c r="F75" s="2" t="n"/>
      <c r="G75" s="2" t="n"/>
      <c r="H75" s="2" t="n"/>
      <c r="I75" s="3" t="n"/>
      <c r="J75" s="3" t="n"/>
      <c r="K75" s="4" t="n"/>
      <c r="L75" s="4" t="n"/>
      <c r="M75" s="6" t="n"/>
      <c r="N75" s="6" t="n"/>
    </row>
    <row r="76">
      <c r="A76" s="1" t="n"/>
      <c r="B76" s="1" t="n"/>
      <c r="C76" s="1" t="n"/>
      <c r="D76" s="1" t="n"/>
      <c r="E76" s="2" t="n"/>
      <c r="F76" s="2" t="n"/>
      <c r="G76" s="2" t="n"/>
      <c r="H76" s="2" t="n"/>
      <c r="I76" s="3" t="n"/>
      <c r="J76" s="3" t="n"/>
      <c r="K76" s="4" t="n"/>
      <c r="L76" s="4" t="n"/>
      <c r="M76" s="6" t="n"/>
      <c r="N76" s="6" t="n"/>
    </row>
    <row r="77">
      <c r="A77" s="1" t="n"/>
      <c r="B77" s="1" t="n"/>
      <c r="C77" s="1" t="n"/>
      <c r="D77" s="1" t="n"/>
      <c r="E77" s="2" t="n"/>
      <c r="F77" s="2" t="n"/>
      <c r="G77" s="2" t="n"/>
      <c r="H77" s="2" t="n"/>
      <c r="I77" s="3" t="n"/>
      <c r="J77" s="3" t="n"/>
      <c r="K77" s="4" t="n"/>
      <c r="L77" s="4" t="n"/>
      <c r="M77" s="6" t="n"/>
      <c r="N77" s="6" t="n"/>
    </row>
    <row r="78">
      <c r="A78" s="1" t="n"/>
      <c r="B78" s="1" t="n"/>
      <c r="C78" s="1" t="n"/>
      <c r="D78" s="1" t="n"/>
      <c r="E78" s="2" t="n"/>
      <c r="F78" s="2" t="n"/>
      <c r="G78" s="2" t="n"/>
      <c r="H78" s="2" t="n"/>
      <c r="I78" s="3" t="n"/>
      <c r="J78" s="3" t="n"/>
      <c r="K78" s="4" t="n"/>
      <c r="L78" s="4" t="n"/>
      <c r="M78" s="6" t="n"/>
      <c r="N78" s="6" t="n"/>
    </row>
    <row r="79">
      <c r="A79" s="1" t="n"/>
      <c r="B79" s="1" t="n"/>
      <c r="C79" s="1" t="n"/>
      <c r="D79" s="1" t="n"/>
      <c r="E79" s="2" t="n"/>
      <c r="F79" s="2" t="n"/>
      <c r="G79" s="2" t="n"/>
      <c r="H79" s="2" t="n"/>
      <c r="I79" s="3" t="n"/>
      <c r="J79" s="3" t="n"/>
      <c r="K79" s="4" t="n"/>
      <c r="L79" s="4" t="n"/>
      <c r="M79" s="6" t="n"/>
      <c r="N79" s="6" t="n"/>
    </row>
    <row r="80">
      <c r="A80" s="1" t="n"/>
      <c r="B80" s="1" t="n"/>
      <c r="C80" s="1" t="n"/>
      <c r="D80" s="1" t="n"/>
      <c r="E80" s="2" t="n"/>
      <c r="F80" s="2" t="n"/>
      <c r="G80" s="2" t="n"/>
      <c r="H80" s="2" t="n"/>
      <c r="I80" s="3" t="n"/>
      <c r="J80" s="3" t="n"/>
      <c r="K80" s="4" t="n"/>
      <c r="L80" s="4" t="n"/>
      <c r="M80" s="6" t="n"/>
      <c r="N80" s="6" t="n"/>
    </row>
    <row r="81">
      <c r="A81" s="1" t="n"/>
      <c r="B81" s="1" t="n"/>
      <c r="C81" s="1" t="n"/>
      <c r="D81" s="1" t="n"/>
      <c r="E81" s="2" t="n"/>
      <c r="F81" s="2" t="n"/>
      <c r="G81" s="2" t="n"/>
      <c r="H81" s="2" t="n"/>
      <c r="I81" s="3" t="n"/>
      <c r="J81" s="3" t="n"/>
      <c r="K81" s="4" t="n"/>
      <c r="L81" s="4" t="n"/>
      <c r="M81" s="6" t="n"/>
      <c r="N81" s="6" t="n"/>
    </row>
    <row r="82">
      <c r="A82" s="1" t="n"/>
      <c r="B82" s="1" t="n"/>
      <c r="C82" s="1" t="n"/>
      <c r="D82" s="1" t="n"/>
      <c r="E82" s="2" t="n"/>
      <c r="F82" s="2" t="n"/>
      <c r="G82" s="2" t="n"/>
      <c r="H82" s="2" t="n"/>
      <c r="I82" s="3" t="n"/>
      <c r="J82" s="3" t="n"/>
      <c r="K82" s="4" t="n"/>
      <c r="L82" s="4" t="n"/>
      <c r="M82" s="6" t="n"/>
      <c r="N82" s="6" t="n"/>
    </row>
    <row r="83">
      <c r="A83" s="1" t="n"/>
      <c r="B83" s="1" t="n"/>
      <c r="C83" s="1" t="n"/>
      <c r="D83" s="1" t="n"/>
      <c r="E83" s="2" t="n"/>
      <c r="F83" s="2" t="n"/>
      <c r="G83" s="2" t="n"/>
      <c r="H83" s="2" t="n"/>
      <c r="I83" s="3" t="n"/>
      <c r="J83" s="3" t="n"/>
      <c r="K83" s="4" t="n"/>
      <c r="L83" s="4" t="n"/>
      <c r="M83" s="6" t="n"/>
      <c r="N83" s="6" t="n"/>
    </row>
    <row r="84">
      <c r="A84" s="1" t="n"/>
      <c r="B84" s="1" t="n"/>
      <c r="C84" s="1" t="n"/>
      <c r="D84" s="1" t="n"/>
      <c r="E84" s="2" t="n"/>
      <c r="F84" s="2" t="n"/>
      <c r="G84" s="2" t="n"/>
      <c r="H84" s="2" t="n"/>
      <c r="I84" s="3" t="n"/>
      <c r="J84" s="3" t="n"/>
      <c r="K84" s="4" t="n"/>
      <c r="L84" s="4" t="n"/>
      <c r="M84" s="6" t="n"/>
      <c r="N84" s="6" t="n"/>
    </row>
    <row r="85">
      <c r="A85" s="1" t="n"/>
      <c r="B85" s="1" t="n"/>
      <c r="C85" s="1" t="n"/>
      <c r="D85" s="1" t="n"/>
      <c r="E85" s="2" t="n"/>
      <c r="F85" s="2" t="n"/>
      <c r="G85" s="2" t="n"/>
      <c r="H85" s="2" t="n"/>
      <c r="I85" s="3" t="n"/>
      <c r="J85" s="3" t="n"/>
      <c r="K85" s="4" t="n"/>
      <c r="L85" s="4" t="n"/>
      <c r="M85" s="6" t="n"/>
      <c r="N85" s="6" t="n"/>
    </row>
    <row r="86">
      <c r="A86" s="1" t="n"/>
      <c r="B86" s="1" t="n"/>
      <c r="C86" s="1" t="n"/>
      <c r="D86" s="1" t="n"/>
      <c r="E86" s="2" t="n"/>
      <c r="F86" s="2" t="n"/>
      <c r="G86" s="2" t="n"/>
      <c r="H86" s="2" t="n"/>
      <c r="I86" s="3" t="n"/>
      <c r="J86" s="3" t="n"/>
      <c r="K86" s="4" t="n"/>
      <c r="L86" s="4" t="n"/>
      <c r="M86" s="6" t="n"/>
      <c r="N86" s="6" t="n"/>
    </row>
    <row r="87">
      <c r="A87" s="1" t="n"/>
      <c r="B87" s="1" t="n"/>
      <c r="C87" s="1" t="n"/>
      <c r="D87" s="1" t="n"/>
      <c r="E87" s="2" t="n"/>
      <c r="F87" s="2" t="n"/>
      <c r="G87" s="2" t="n"/>
      <c r="H87" s="2" t="n"/>
      <c r="I87" s="3" t="n"/>
      <c r="J87" s="3" t="n"/>
      <c r="K87" s="4" t="n"/>
      <c r="L87" s="4" t="n"/>
      <c r="M87" s="6" t="n"/>
      <c r="N87" s="6" t="n"/>
    </row>
    <row r="88">
      <c r="A88" s="1" t="n"/>
      <c r="B88" s="1" t="n"/>
      <c r="C88" s="1" t="n"/>
      <c r="D88" s="1" t="n"/>
      <c r="E88" s="2" t="n"/>
      <c r="F88" s="2" t="n"/>
      <c r="G88" s="2" t="n"/>
      <c r="H88" s="2" t="n"/>
      <c r="I88" s="3" t="n"/>
      <c r="J88" s="3" t="n"/>
      <c r="K88" s="4" t="n"/>
      <c r="L88" s="4" t="n"/>
      <c r="M88" s="6" t="n"/>
      <c r="N88" s="6" t="n"/>
    </row>
    <row r="89">
      <c r="A89" s="1" t="n"/>
      <c r="B89" s="1" t="n"/>
      <c r="C89" s="1" t="n"/>
      <c r="D89" s="1" t="n"/>
      <c r="E89" s="2" t="n"/>
      <c r="F89" s="2" t="n"/>
      <c r="G89" s="2" t="n"/>
      <c r="H89" s="2" t="n"/>
      <c r="I89" s="3" t="n"/>
      <c r="J89" s="3" t="n"/>
      <c r="K89" s="4" t="n"/>
      <c r="L89" s="4" t="n"/>
      <c r="M89" s="6" t="n"/>
      <c r="N89" s="6" t="n"/>
    </row>
    <row r="90">
      <c r="A90" s="1" t="n"/>
      <c r="B90" s="1" t="n"/>
      <c r="C90" s="1" t="n"/>
      <c r="D90" s="1" t="n"/>
      <c r="E90" s="2" t="n"/>
      <c r="F90" s="2" t="n"/>
      <c r="G90" s="2" t="n"/>
      <c r="H90" s="2" t="n"/>
      <c r="I90" s="3" t="n"/>
      <c r="J90" s="3" t="n"/>
      <c r="K90" s="4" t="n"/>
      <c r="L90" s="4" t="n"/>
      <c r="M90" s="6" t="n"/>
      <c r="N90" s="6" t="n"/>
    </row>
    <row r="91">
      <c r="A91" s="1" t="n"/>
      <c r="B91" s="1" t="n"/>
      <c r="C91" s="1" t="n"/>
      <c r="D91" s="1" t="n"/>
      <c r="E91" s="2" t="n"/>
      <c r="F91" s="2" t="n"/>
      <c r="G91" s="2" t="n"/>
      <c r="H91" s="2" t="n"/>
      <c r="I91" s="3" t="n"/>
      <c r="J91" s="3" t="n"/>
      <c r="K91" s="4" t="n"/>
      <c r="L91" s="4" t="n"/>
      <c r="M91" s="6" t="n"/>
      <c r="N91" s="6" t="n"/>
    </row>
    <row r="92">
      <c r="A92" s="1" t="n"/>
      <c r="B92" s="1" t="n"/>
      <c r="C92" s="1" t="n"/>
      <c r="D92" s="1" t="n"/>
      <c r="E92" s="2" t="n"/>
      <c r="F92" s="2" t="n"/>
      <c r="G92" s="2" t="n"/>
      <c r="H92" s="2" t="n"/>
      <c r="I92" s="3" t="n"/>
      <c r="J92" s="3" t="n"/>
      <c r="K92" s="4" t="n"/>
      <c r="L92" s="4" t="n"/>
      <c r="M92" s="6" t="n"/>
      <c r="N92" s="6" t="n"/>
    </row>
    <row r="93">
      <c r="A93" s="1" t="n"/>
      <c r="B93" s="1" t="n"/>
      <c r="C93" s="1" t="n"/>
      <c r="D93" s="1" t="n"/>
      <c r="E93" s="2" t="n"/>
      <c r="F93" s="2" t="n"/>
      <c r="G93" s="2" t="n"/>
      <c r="H93" s="2" t="n"/>
      <c r="I93" s="3" t="n"/>
      <c r="J93" s="3" t="n"/>
      <c r="K93" s="4" t="n"/>
      <c r="L93" s="4" t="n"/>
      <c r="M93" s="6" t="n"/>
      <c r="N93" s="6" t="n"/>
    </row>
    <row r="94">
      <c r="A94" s="1" t="n"/>
      <c r="B94" s="1" t="n"/>
      <c r="C94" s="1" t="n"/>
      <c r="D94" s="1" t="n"/>
      <c r="E94" s="2" t="n"/>
      <c r="F94" s="2" t="n"/>
      <c r="G94" s="2" t="n"/>
      <c r="H94" s="2" t="n"/>
      <c r="I94" s="3" t="n"/>
      <c r="J94" s="3" t="n"/>
      <c r="K94" s="4" t="n"/>
      <c r="L94" s="4" t="n"/>
      <c r="M94" s="6" t="n"/>
      <c r="N94" s="6" t="n"/>
    </row>
    <row r="95">
      <c r="A95" s="1" t="n"/>
      <c r="B95" s="1" t="n"/>
      <c r="C95" s="1" t="n"/>
      <c r="D95" s="1" t="n"/>
      <c r="E95" s="2" t="n"/>
      <c r="F95" s="2" t="n"/>
      <c r="G95" s="2" t="n"/>
      <c r="H95" s="2" t="n"/>
      <c r="I95" s="3" t="n"/>
      <c r="J95" s="3" t="n"/>
      <c r="K95" s="4" t="n"/>
      <c r="L95" s="4" t="n"/>
      <c r="M95" s="6" t="n"/>
      <c r="N95" s="6" t="n"/>
    </row>
    <row r="96">
      <c r="A96" s="1" t="n"/>
      <c r="B96" s="1" t="n"/>
      <c r="C96" s="1" t="n"/>
      <c r="D96" s="1" t="n"/>
      <c r="E96" s="2" t="n"/>
      <c r="F96" s="2" t="n"/>
      <c r="G96" s="2" t="n"/>
      <c r="H96" s="2" t="n"/>
      <c r="I96" s="3" t="n"/>
      <c r="J96" s="3" t="n"/>
      <c r="K96" s="4" t="n"/>
      <c r="L96" s="4" t="n"/>
      <c r="M96" s="6" t="n"/>
      <c r="N96" s="6" t="n"/>
    </row>
    <row r="97">
      <c r="A97" s="1" t="n"/>
      <c r="B97" s="1" t="n"/>
      <c r="C97" s="1" t="n"/>
      <c r="D97" s="1" t="n"/>
      <c r="E97" s="2" t="n"/>
      <c r="F97" s="2" t="n"/>
      <c r="G97" s="2" t="n"/>
      <c r="H97" s="2" t="n"/>
      <c r="I97" s="3" t="n"/>
      <c r="J97" s="3" t="n"/>
      <c r="K97" s="4" t="n"/>
      <c r="L97" s="4" t="n"/>
      <c r="M97" s="6" t="n"/>
      <c r="N97" s="6" t="n"/>
    </row>
    <row r="98">
      <c r="A98" s="1" t="n"/>
      <c r="B98" s="1" t="n"/>
      <c r="C98" s="1" t="n"/>
      <c r="D98" s="1" t="n"/>
      <c r="E98" s="2" t="n"/>
      <c r="F98" s="2" t="n"/>
      <c r="G98" s="2" t="n"/>
      <c r="H98" s="2" t="n"/>
      <c r="I98" s="3" t="n"/>
      <c r="J98" s="3" t="n"/>
      <c r="K98" s="4" t="n"/>
      <c r="L98" s="4" t="n"/>
      <c r="M98" s="6" t="n"/>
      <c r="N98" s="6" t="n"/>
    </row>
    <row r="99">
      <c r="A99" s="1" t="n"/>
      <c r="B99" s="1" t="n"/>
      <c r="C99" s="1" t="n"/>
      <c r="D99" s="1" t="n"/>
      <c r="E99" s="2" t="n"/>
      <c r="F99" s="2" t="n"/>
      <c r="G99" s="2" t="n"/>
      <c r="H99" s="2" t="n"/>
      <c r="I99" s="3" t="n"/>
      <c r="J99" s="3" t="n"/>
      <c r="K99" s="4" t="n"/>
      <c r="L99" s="4" t="n"/>
      <c r="M99" s="6" t="n"/>
      <c r="N99" s="6" t="n"/>
    </row>
    <row r="100">
      <c r="A100" s="1" t="n"/>
      <c r="B100" s="1" t="n"/>
      <c r="C100" s="1" t="n"/>
      <c r="D100" s="1" t="n"/>
      <c r="E100" s="2" t="n"/>
      <c r="F100" s="2" t="n"/>
      <c r="G100" s="2" t="n"/>
      <c r="H100" s="2" t="n"/>
      <c r="I100" s="3" t="n"/>
      <c r="J100" s="3" t="n"/>
      <c r="K100" s="4" t="n"/>
      <c r="L100" s="4" t="n"/>
      <c r="M100" s="6" t="n"/>
      <c r="N100" s="6" t="n"/>
    </row>
    <row r="101">
      <c r="A101" s="1" t="n"/>
      <c r="B101" s="1" t="n"/>
      <c r="C101" s="1" t="n"/>
      <c r="D101" s="1" t="n"/>
      <c r="E101" s="2" t="n"/>
      <c r="F101" s="2" t="n"/>
      <c r="G101" s="2" t="n"/>
      <c r="H101" s="2" t="n"/>
      <c r="I101" s="3" t="n"/>
      <c r="J101" s="3" t="n"/>
      <c r="K101" s="4" t="n"/>
      <c r="L101" s="4" t="n"/>
      <c r="M101" s="6" t="n"/>
      <c r="N101" s="6" t="n"/>
    </row>
    <row r="102">
      <c r="A102" s="1" t="n"/>
      <c r="B102" s="1" t="n"/>
      <c r="C102" s="1" t="n"/>
      <c r="D102" s="1" t="n"/>
      <c r="E102" s="2" t="n"/>
      <c r="F102" s="2" t="n"/>
      <c r="G102" s="2" t="n"/>
      <c r="H102" s="2" t="n"/>
      <c r="I102" s="3" t="n"/>
      <c r="J102" s="3" t="n"/>
      <c r="K102" s="4" t="n"/>
      <c r="L102" s="4" t="n"/>
      <c r="M102" s="6" t="n"/>
      <c r="N102" s="6" t="n"/>
    </row>
    <row r="103">
      <c r="A103" s="1" t="n"/>
      <c r="B103" s="1" t="n"/>
      <c r="C103" s="1" t="n"/>
      <c r="D103" s="1" t="n"/>
      <c r="E103" s="2" t="n"/>
      <c r="F103" s="2" t="n"/>
      <c r="G103" s="2" t="n"/>
      <c r="H103" s="2" t="n"/>
      <c r="I103" s="3" t="n"/>
      <c r="J103" s="3" t="n"/>
      <c r="K103" s="4" t="n"/>
      <c r="L103" s="4" t="n"/>
      <c r="M103" s="6" t="n"/>
      <c r="N103" s="6" t="n"/>
    </row>
    <row r="104">
      <c r="A104" s="1" t="n"/>
      <c r="B104" s="1" t="n"/>
      <c r="C104" s="1" t="n"/>
      <c r="D104" s="1" t="n"/>
      <c r="E104" s="2" t="n"/>
      <c r="F104" s="2" t="n"/>
      <c r="G104" s="2" t="n"/>
      <c r="H104" s="2" t="n"/>
      <c r="I104" s="3" t="n"/>
      <c r="J104" s="3" t="n"/>
      <c r="K104" s="4" t="n"/>
      <c r="L104" s="4" t="n"/>
      <c r="M104" s="6" t="n"/>
      <c r="N104" s="6" t="n"/>
    </row>
    <row r="105">
      <c r="A105" s="1" t="n"/>
      <c r="B105" s="1" t="n"/>
      <c r="C105" s="1" t="n"/>
      <c r="D105" s="1" t="n"/>
      <c r="E105" s="2" t="n"/>
      <c r="F105" s="2" t="n"/>
      <c r="G105" s="2" t="n"/>
      <c r="H105" s="2" t="n"/>
      <c r="I105" s="3" t="n"/>
      <c r="J105" s="3" t="n"/>
      <c r="K105" s="4" t="n"/>
      <c r="L105" s="4" t="n"/>
      <c r="M105" s="6" t="n"/>
      <c r="N105" s="6" t="n"/>
    </row>
    <row r="106">
      <c r="A106" s="1" t="n"/>
      <c r="B106" s="1" t="n"/>
      <c r="C106" s="1" t="n"/>
      <c r="D106" s="1" t="n"/>
      <c r="E106" s="2" t="n"/>
      <c r="F106" s="2" t="n"/>
      <c r="G106" s="2" t="n"/>
      <c r="H106" s="2" t="n"/>
      <c r="I106" s="3" t="n"/>
      <c r="J106" s="3" t="n"/>
      <c r="K106" s="4" t="n"/>
      <c r="L106" s="4" t="n"/>
      <c r="M106" s="6" t="n"/>
      <c r="N106" s="6" t="n"/>
    </row>
    <row r="107">
      <c r="A107" s="1" t="n"/>
      <c r="B107" s="1" t="n"/>
      <c r="C107" s="1" t="n"/>
      <c r="D107" s="1" t="n"/>
      <c r="E107" s="2" t="n"/>
      <c r="F107" s="2" t="n"/>
      <c r="G107" s="2" t="n"/>
      <c r="H107" s="2" t="n"/>
      <c r="I107" s="3" t="n"/>
      <c r="J107" s="3" t="n"/>
      <c r="K107" s="4" t="n"/>
      <c r="L107" s="4" t="n"/>
      <c r="M107" s="6" t="n"/>
      <c r="N107" s="6" t="n"/>
    </row>
    <row r="108">
      <c r="A108" s="1" t="n"/>
      <c r="B108" s="1" t="n"/>
      <c r="C108" s="1" t="n"/>
      <c r="D108" s="1" t="n"/>
      <c r="E108" s="2" t="n"/>
      <c r="F108" s="2" t="n"/>
      <c r="G108" s="2" t="n"/>
      <c r="H108" s="2" t="n"/>
      <c r="I108" s="3" t="n"/>
      <c r="J108" s="3" t="n"/>
      <c r="K108" s="4" t="n"/>
      <c r="L108" s="4" t="n"/>
      <c r="M108" s="6" t="n"/>
      <c r="N108" s="6" t="n"/>
    </row>
    <row r="109">
      <c r="A109" s="1" t="n"/>
      <c r="B109" s="1" t="n"/>
      <c r="C109" s="1" t="n"/>
      <c r="D109" s="1" t="n"/>
      <c r="E109" s="2" t="n"/>
      <c r="F109" s="2" t="n"/>
      <c r="G109" s="2" t="n"/>
      <c r="H109" s="2" t="n"/>
      <c r="I109" s="3" t="n"/>
      <c r="J109" s="3" t="n"/>
      <c r="K109" s="4" t="n"/>
      <c r="L109" s="4" t="n"/>
      <c r="M109" s="6" t="n"/>
      <c r="N109" s="6" t="n"/>
    </row>
    <row r="110">
      <c r="A110" s="1" t="n"/>
      <c r="B110" s="1" t="n"/>
      <c r="C110" s="1" t="n"/>
      <c r="D110" s="1" t="n"/>
      <c r="E110" s="2" t="n"/>
      <c r="F110" s="2" t="n"/>
      <c r="G110" s="2" t="n"/>
      <c r="H110" s="2" t="n"/>
      <c r="I110" s="3" t="n"/>
      <c r="J110" s="3" t="n"/>
      <c r="K110" s="4" t="n"/>
      <c r="L110" s="4" t="n"/>
      <c r="M110" s="6" t="n"/>
      <c r="N110" s="6" t="n"/>
    </row>
    <row r="111">
      <c r="A111" s="1" t="n"/>
      <c r="B111" s="1" t="n"/>
      <c r="C111" s="1" t="n"/>
      <c r="D111" s="1" t="n"/>
      <c r="E111" s="2" t="n"/>
      <c r="F111" s="2" t="n"/>
      <c r="G111" s="2" t="n"/>
      <c r="H111" s="2" t="n"/>
      <c r="I111" s="3" t="n"/>
      <c r="J111" s="3" t="n"/>
      <c r="K111" s="4" t="n"/>
      <c r="L111" s="4" t="n"/>
      <c r="M111" s="6" t="n"/>
      <c r="N111" s="6" t="n"/>
    </row>
    <row r="112">
      <c r="A112" s="1" t="n"/>
      <c r="B112" s="1" t="n"/>
      <c r="C112" s="1" t="n"/>
      <c r="D112" s="1" t="n"/>
      <c r="E112" s="2" t="n"/>
      <c r="F112" s="2" t="n"/>
      <c r="G112" s="2" t="n"/>
      <c r="H112" s="2" t="n"/>
      <c r="I112" s="3" t="n"/>
      <c r="J112" s="3" t="n"/>
      <c r="K112" s="4" t="n"/>
      <c r="L112" s="4" t="n"/>
      <c r="M112" s="6" t="n"/>
      <c r="N112" s="6" t="n"/>
    </row>
    <row r="113">
      <c r="A113" s="1" t="n"/>
      <c r="B113" s="1" t="n"/>
      <c r="C113" s="1" t="n"/>
      <c r="D113" s="1" t="n"/>
      <c r="E113" s="2" t="n"/>
      <c r="F113" s="2" t="n"/>
      <c r="G113" s="2" t="n"/>
      <c r="H113" s="2" t="n"/>
      <c r="I113" s="3" t="n"/>
      <c r="J113" s="3" t="n"/>
      <c r="K113" s="4" t="n"/>
      <c r="L113" s="4" t="n"/>
      <c r="M113" s="6" t="n"/>
      <c r="N113" s="6" t="n"/>
    </row>
    <row r="114">
      <c r="A114" s="1" t="n"/>
      <c r="B114" s="1" t="n"/>
      <c r="C114" s="1" t="n"/>
      <c r="D114" s="1" t="n"/>
      <c r="E114" s="2" t="n"/>
      <c r="F114" s="2" t="n"/>
      <c r="G114" s="2" t="n"/>
      <c r="H114" s="2" t="n"/>
      <c r="I114" s="3" t="n"/>
      <c r="J114" s="3" t="n"/>
      <c r="K114" s="4" t="n"/>
      <c r="L114" s="4" t="n"/>
      <c r="M114" s="6" t="n"/>
      <c r="N114" s="6" t="n"/>
    </row>
    <row r="115">
      <c r="A115" s="1" t="n"/>
      <c r="B115" s="1" t="n"/>
      <c r="C115" s="1" t="n"/>
      <c r="D115" s="1" t="n"/>
      <c r="E115" s="2" t="n"/>
      <c r="F115" s="2" t="n"/>
      <c r="G115" s="2" t="n"/>
      <c r="H115" s="2" t="n"/>
      <c r="I115" s="3" t="n"/>
      <c r="J115" s="3" t="n"/>
      <c r="K115" s="4" t="n"/>
      <c r="L115" s="4" t="n"/>
      <c r="M115" s="6" t="n"/>
      <c r="N115" s="6" t="n"/>
    </row>
    <row r="116">
      <c r="A116" s="1" t="n"/>
      <c r="B116" s="1" t="n"/>
      <c r="C116" s="1" t="n"/>
      <c r="D116" s="1" t="n"/>
      <c r="E116" s="2" t="n"/>
      <c r="F116" s="2" t="n"/>
      <c r="G116" s="2" t="n"/>
      <c r="H116" s="2" t="n"/>
      <c r="I116" s="3" t="n"/>
      <c r="J116" s="3" t="n"/>
      <c r="K116" s="4" t="n"/>
      <c r="L116" s="4" t="n"/>
      <c r="M116" s="6" t="n"/>
      <c r="N116" s="6" t="n"/>
    </row>
    <row r="117">
      <c r="A117" s="1" t="n"/>
      <c r="B117" s="1" t="n"/>
      <c r="C117" s="1" t="n"/>
      <c r="D117" s="1" t="n"/>
      <c r="E117" s="2" t="n"/>
      <c r="F117" s="2" t="n"/>
      <c r="G117" s="2" t="n"/>
      <c r="H117" s="2" t="n"/>
      <c r="I117" s="3" t="n"/>
      <c r="J117" s="3" t="n"/>
      <c r="K117" s="4" t="n"/>
      <c r="L117" s="4" t="n"/>
      <c r="M117" s="6" t="n"/>
      <c r="N117" s="6" t="n"/>
    </row>
    <row r="118">
      <c r="A118" s="1" t="n"/>
      <c r="B118" s="1" t="n"/>
      <c r="C118" s="1" t="n"/>
      <c r="D118" s="1" t="n"/>
      <c r="E118" s="2" t="n"/>
      <c r="F118" s="2" t="n"/>
      <c r="G118" s="2" t="n"/>
      <c r="H118" s="2" t="n"/>
      <c r="I118" s="3" t="n"/>
      <c r="J118" s="3" t="n"/>
      <c r="K118" s="4" t="n"/>
      <c r="L118" s="4" t="n"/>
      <c r="M118" s="6" t="n"/>
      <c r="N118" s="6" t="n"/>
    </row>
    <row r="119">
      <c r="A119" s="1" t="n"/>
      <c r="B119" s="1" t="n"/>
      <c r="C119" s="1" t="n"/>
      <c r="D119" s="1" t="n"/>
      <c r="E119" s="2" t="n"/>
      <c r="F119" s="2" t="n"/>
      <c r="G119" s="2" t="n"/>
      <c r="H119" s="2" t="n"/>
      <c r="I119" s="3" t="n"/>
      <c r="J119" s="3" t="n"/>
      <c r="K119" s="4" t="n"/>
      <c r="L119" s="4" t="n"/>
    </row>
    <row r="120">
      <c r="A120" s="1" t="n"/>
      <c r="B120" s="1" t="n"/>
      <c r="C120" s="1" t="n"/>
      <c r="D120" s="1" t="n"/>
      <c r="E120" s="2" t="n"/>
      <c r="F120" s="2" t="n"/>
      <c r="G120" s="2" t="n"/>
      <c r="H120" s="2" t="n"/>
      <c r="I120" s="3" t="n"/>
      <c r="J120" s="3" t="n"/>
      <c r="K120" s="4" t="n"/>
      <c r="L120" s="4" t="n"/>
    </row>
    <row r="121">
      <c r="A121" s="1" t="n"/>
      <c r="B121" s="1" t="n"/>
      <c r="C121" s="1" t="n"/>
      <c r="D121" s="1" t="n"/>
      <c r="E121" s="2" t="n"/>
      <c r="F121" s="2" t="n"/>
      <c r="G121" s="2" t="n"/>
      <c r="H121" s="2" t="n"/>
      <c r="I121" s="3" t="n"/>
      <c r="J121" s="3" t="n"/>
      <c r="K121" s="4" t="n"/>
      <c r="L121" s="4" t="n"/>
    </row>
    <row r="122">
      <c r="A122" s="1" t="n"/>
      <c r="B122" s="1" t="n"/>
      <c r="C122" s="1" t="n"/>
      <c r="D122" s="1" t="n"/>
      <c r="E122" s="2" t="n"/>
      <c r="F122" s="2" t="n"/>
      <c r="G122" s="2" t="n"/>
      <c r="H122" s="2" t="n"/>
      <c r="I122" s="3" t="n"/>
      <c r="J122" s="3" t="n"/>
      <c r="K122" s="4" t="n"/>
      <c r="L122" s="4" t="n"/>
    </row>
  </sheetData>
  <dataValidations count="1">
    <dataValidation sqref="K3:K122 L43:L122 O3:P122" showDropDown="0" showInputMessage="1" showErrorMessage="1" allowBlank="1" type="list">
      <formula1>"1,4,12,24,26,52"</formula1>
    </dataValidation>
  </dataValidations>
  <pageMargins left="0.7" right="0.7" top="0.75" bottom="0.75" header="0.3" footer="0.3"/>
  <pageSetup orientation="portrait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66" customWidth="1" min="5" max="5"/>
    <col width="30" customWidth="1" min="6" max="6"/>
  </cols>
  <sheetData>
    <row r="1" ht="26" customHeight="1">
      <c r="A1" s="30" t="inlineStr">
        <is>
          <t>PRICING NOTES — WHAT CHANGED AND WHY</t>
        </is>
      </c>
    </row>
    <row r="2">
      <c r="A2" s="31" t="inlineStr">
        <is>
          <t>Every change below came off an actual Paychex invoice or from your 9/22 email.</t>
        </is>
      </c>
    </row>
    <row r="4">
      <c r="A4" s="32" t="inlineStr">
        <is>
          <t>CHANGED — 6 clients</t>
        </is>
      </c>
      <c r="B4" s="33" t="n"/>
      <c r="C4" s="33" t="n"/>
      <c r="D4" s="33" t="n"/>
      <c r="E4" s="33" t="n"/>
      <c r="F4" s="33" t="n"/>
    </row>
    <row r="5" ht="30" customHeight="1">
      <c r="A5" s="34" t="inlineStr">
        <is>
          <t>Client</t>
        </is>
      </c>
      <c r="B5" s="34" t="inlineStr">
        <is>
          <t>Your sheet</t>
        </is>
      </c>
      <c r="C5" s="34" t="inlineStr">
        <is>
          <t>Now</t>
        </is>
      </c>
      <c r="D5" s="34" t="inlineStr">
        <is>
          <t>Difference</t>
        </is>
      </c>
      <c r="E5" s="34" t="inlineStr">
        <is>
          <t>Why</t>
        </is>
      </c>
      <c r="F5" s="34" t="inlineStr">
        <is>
          <t>Source</t>
        </is>
      </c>
    </row>
    <row r="6" ht="34" customHeight="1">
      <c r="A6" s="35" t="inlineStr">
        <is>
          <t>Auction Time Pieces</t>
        </is>
      </c>
      <c r="B6" s="36" t="n">
        <v>79.09999999999999</v>
      </c>
      <c r="C6" s="36" t="n">
        <v>154.1</v>
      </c>
      <c r="D6" s="37" t="n">
        <v>75</v>
      </c>
      <c r="E6" s="38" t="inlineStr">
        <is>
          <t>Invoice shows Flex Select 79.10 plus Direct Deposit Premium Processing 75.00, charged every run.</t>
        </is>
      </c>
      <c r="F6" s="39" t="inlineStr">
        <is>
          <t>Paychex invoice 7/30/26</t>
        </is>
      </c>
    </row>
    <row r="7" ht="34" customHeight="1">
      <c r="A7" s="35" t="inlineStr">
        <is>
          <t>Onchain Strategies</t>
        </is>
      </c>
      <c r="B7" s="36" t="n">
        <v>58</v>
      </c>
      <c r="C7" s="36" t="n">
        <v>101</v>
      </c>
      <c r="D7" s="37" t="n">
        <v>43</v>
      </c>
      <c r="E7" s="38" t="inlineStr">
        <is>
          <t>Base is Officer Only Payroll 65.00, not 58.00, plus Delivery 36.00 every run.</t>
        </is>
      </c>
      <c r="F7" s="39" t="inlineStr">
        <is>
          <t>Paychex invoice 5/27/26</t>
        </is>
      </c>
    </row>
    <row r="8" ht="34" customHeight="1">
      <c r="A8" s="35" t="inlineStr">
        <is>
          <t>Walters Mirrors</t>
        </is>
      </c>
      <c r="B8" s="36" t="n">
        <v>95.3</v>
      </c>
      <c r="C8" s="36" t="n">
        <v>261.95</v>
      </c>
      <c r="D8" s="37" t="n">
        <v>166.65</v>
      </c>
      <c r="E8" s="38" t="inlineStr">
        <is>
          <t>Paychex actually charges 502.15 a run on HR Pro. 261.95 is our price. Also bi-weekly not semi-monthly, 26 runs not 24, and 3 employees not 5.</t>
        </is>
      </c>
      <c r="F8" s="39" t="inlineStr">
        <is>
          <t>Paychex invoices 9/2 + 9/14/26</t>
        </is>
      </c>
    </row>
    <row r="9" ht="34" customHeight="1">
      <c r="A9" s="35" t="inlineStr">
        <is>
          <t>Complete Merchant Services</t>
        </is>
      </c>
      <c r="B9" s="36" t="n">
        <v>70</v>
      </c>
      <c r="C9" s="36" t="n">
        <v>100</v>
      </c>
      <c r="D9" s="37" t="n">
        <v>30</v>
      </c>
      <c r="E9" s="38" t="inlineStr">
        <is>
          <t>Not on Paychex. On Gusto at 100 a month, 2 employees, payroll only.</t>
        </is>
      </c>
      <c r="F9" s="39" t="inlineStr">
        <is>
          <t>Your email 9/22/26</t>
        </is>
      </c>
    </row>
    <row r="10" ht="34" customHeight="1">
      <c r="A10" s="35" t="inlineStr">
        <is>
          <t>FRG Advisory</t>
        </is>
      </c>
      <c r="B10" s="36" t="n">
        <v>70</v>
      </c>
      <c r="C10" s="36" t="n">
        <v>50</v>
      </c>
      <c r="D10" s="37" t="n">
        <v>-20</v>
      </c>
      <c r="E10" s="38" t="inlineStr">
        <is>
          <t>On Gusto at 50 a month, monthly.</t>
        </is>
      </c>
      <c r="F10" s="39" t="inlineStr">
        <is>
          <t>Your email 9/22/26</t>
        </is>
      </c>
    </row>
    <row r="11" ht="34" customHeight="1">
      <c r="A11" s="35" t="inlineStr">
        <is>
          <t>Broadway 2000</t>
        </is>
      </c>
      <c r="B11" s="36" t="n">
        <v>300</v>
      </c>
      <c r="C11" s="36" t="n">
        <v>400</v>
      </c>
      <c r="D11" s="37" t="n">
        <v>100</v>
      </c>
      <c r="E11" s="38" t="inlineStr">
        <is>
          <t>No provider. Runs through IRS Treasury online, about 400 a year.</t>
        </is>
      </c>
      <c r="F11" s="39" t="inlineStr">
        <is>
          <t>Your email 9/22/26</t>
        </is>
      </c>
    </row>
    <row r="13">
      <c r="A13" s="40" t="inlineStr">
        <is>
          <t>MATCHED YOUR SHEET EXACTLY — 3 clients</t>
        </is>
      </c>
      <c r="B13" s="41" t="n"/>
      <c r="C13" s="41" t="n"/>
      <c r="D13" s="41" t="n"/>
      <c r="E13" s="41" t="n"/>
      <c r="F13" s="41" t="n"/>
    </row>
    <row r="14">
      <c r="A14" s="35" t="inlineStr">
        <is>
          <t>Wisdom by Woods</t>
        </is>
      </c>
      <c r="B14" s="36" t="n">
        <v>129.78</v>
      </c>
      <c r="C14" s="39" t="n"/>
      <c r="D14" s="39" t="n"/>
      <c r="E14" s="39" t="n"/>
      <c r="F14" s="39" t="inlineStr">
        <is>
          <t>Paychex invoices 6/24 + 7/29/26</t>
        </is>
      </c>
    </row>
    <row r="15">
      <c r="A15" s="35" t="inlineStr">
        <is>
          <t>Backfin Logistics</t>
        </is>
      </c>
      <c r="B15" s="36" t="n">
        <v>98.5</v>
      </c>
      <c r="C15" s="39" t="n"/>
      <c r="D15" s="39" t="n"/>
      <c r="E15" s="39" t="n"/>
      <c r="F15" s="39" t="inlineStr">
        <is>
          <t>Paychex invoices 8/12, 8/26, 9/11/26</t>
        </is>
      </c>
    </row>
    <row r="16">
      <c r="A16" s="35" t="inlineStr">
        <is>
          <t>Spencer Thwaytes &amp; Co</t>
        </is>
      </c>
      <c r="B16" s="36" t="n">
        <v>77</v>
      </c>
      <c r="C16" s="39" t="n"/>
      <c r="D16" s="39" t="n"/>
      <c r="E16" s="39" t="n"/>
      <c r="F16" s="39" t="inlineStr">
        <is>
          <t>Paychex invoice 8/27/26</t>
        </is>
      </c>
    </row>
    <row r="18">
      <c r="A18" s="32" t="inlineStr">
        <is>
          <t>TOP FOUR — pricing still adjustable</t>
        </is>
      </c>
      <c r="B18" s="33" t="n"/>
      <c r="C18" s="33" t="n"/>
      <c r="D18" s="33" t="n"/>
      <c r="E18" s="33" t="n"/>
      <c r="F18" s="33" t="n"/>
    </row>
    <row r="19">
      <c r="A19" s="35" t="inlineStr">
        <is>
          <t>Upstate Logistics</t>
        </is>
      </c>
      <c r="B19" s="36" t="n">
        <v>78.56999999999999</v>
      </c>
      <c r="C19" s="39" t="n"/>
      <c r="D19" s="39" t="n"/>
      <c r="E19" s="39" t="inlineStr">
        <is>
          <t>Access granted, invoice not received yet.</t>
        </is>
      </c>
      <c r="F19" s="39" t="n"/>
    </row>
    <row r="20">
      <c r="A20" s="35" t="inlineStr">
        <is>
          <t>Tyree Advisory</t>
        </is>
      </c>
      <c r="B20" s="36" t="n">
        <v>71.92</v>
      </c>
      <c r="C20" s="39" t="n"/>
      <c r="D20" s="39" t="n"/>
      <c r="E20" s="39" t="inlineStr">
        <is>
          <t>Access granted, invoice not received yet.</t>
        </is>
      </c>
      <c r="F20" s="39" t="n"/>
    </row>
    <row r="21">
      <c r="A21" s="35" t="inlineStr">
        <is>
          <t>RJC Holdings</t>
        </is>
      </c>
      <c r="B21" s="36" t="n">
        <v>58</v>
      </c>
      <c r="C21" s="39" t="n"/>
      <c r="D21" s="39" t="n"/>
      <c r="E21" s="39" t="inlineStr">
        <is>
          <t>No access. Paychex cannot link the account.</t>
        </is>
      </c>
      <c r="F21" s="39" t="n"/>
    </row>
    <row r="22">
      <c r="A22" s="35" t="inlineStr">
        <is>
          <t>Kranz Motorcars</t>
        </is>
      </c>
      <c r="B22" s="36" t="n">
        <v>59.5</v>
      </c>
      <c r="C22" s="39" t="n"/>
      <c r="D22" s="39" t="n"/>
      <c r="E22" s="39" t="inlineStr">
        <is>
          <t>No access. Client has not granted it.</t>
        </is>
      </c>
      <c r="F22" s="39" t="n"/>
    </row>
    <row r="24">
      <c r="A24" s="42" t="inlineStr">
        <is>
          <t>REMOVED — 5 clients with no current payroll billing</t>
        </is>
      </c>
      <c r="B24" s="43" t="n"/>
      <c r="C24" s="43" t="n"/>
      <c r="D24" s="43" t="n"/>
      <c r="E24" s="43" t="n"/>
      <c r="F24" s="43" t="n"/>
    </row>
    <row r="25">
      <c r="A25" t="inlineStr">
        <is>
          <t>B333 Trading  ·  AJG Trading  ·  Kapstone Digital  ·  Atlas Opera  ·  North Star Works</t>
        </is>
      </c>
    </row>
    <row r="27">
      <c r="A27" s="42" t="inlineStr">
        <is>
          <t>WHAT IS NOT IN THESE NUMBERS</t>
        </is>
      </c>
      <c r="B27" s="43" t="n"/>
      <c r="C27" s="43" t="n"/>
      <c r="D27" s="43" t="n"/>
      <c r="E27" s="43" t="n"/>
      <c r="F27" s="43" t="n"/>
    </row>
    <row r="28">
      <c r="A28" t="inlineStr">
        <is>
          <t>One-time setup fees.</t>
        </is>
      </c>
    </row>
    <row r="29">
      <c r="A29" t="inlineStr">
        <is>
          <t>Missing State ID and Missing Local ID penalties of 50 a month. Those stop once the registrations are filed.</t>
        </is>
      </c>
    </row>
    <row r="30">
      <c r="A30" t="inlineStr">
        <is>
          <t>Year-end W-2 and 1099 charges.</t>
        </is>
      </c>
    </row>
    <row r="31">
      <c r="A31" t="inlineStr">
        <is>
          <t>401(k) fees. Those are priced separately.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Cassidy, Patrick</dc:creator>
  <dcterms:created xsi:type="dcterms:W3CDTF">2015-06-05T18:17:20Z</dcterms:created>
  <dcterms:modified xsi:type="dcterms:W3CDTF">2026-09-30T13:49:13Z</dcterms:modified>
  <cp:lastModifiedBy>Stephen Scialo</cp:lastModifiedBy>
</cp:coreProperties>
</file>