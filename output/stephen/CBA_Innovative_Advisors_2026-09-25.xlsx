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Pricing Not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  <numFmt numFmtId="167" formatCode="$#,##0.00;[Red]($#,##0.00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  <font>
      <i val="1"/>
    </font>
    <font>
      <b val="1"/>
      <color rgb="00FFFFFF"/>
      <sz val="14"/>
    </font>
    <font>
      <i val="1"/>
      <sz val="10"/>
    </font>
    <font>
      <b val="1"/>
      <sz val="11"/>
    </font>
    <font>
      <b val="1"/>
      <sz val="10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" fillId="0" borderId="0"/>
    <xf numFmtId="44" fontId="1" fillId="0" borderId="0"/>
    <xf numFmtId="0" fontId="2" fillId="0" borderId="0"/>
  </cellStyleXfs>
  <cellXfs count="47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7" fillId="3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 vertical="top"/>
      <protection locked="0" hidden="0"/>
    </xf>
    <xf numFmtId="0" fontId="5" fillId="3" borderId="1" applyAlignment="1" applyProtection="1" pivotButton="0" quotePrefix="0" xfId="2">
      <alignment horizontal="center"/>
      <protection locked="0" hidden="0"/>
    </xf>
    <xf numFmtId="166" fontId="4" fillId="3" borderId="1" applyAlignment="1" applyProtection="1" pivotButton="0" quotePrefix="0" xfId="1">
      <alignment horizontal="right"/>
      <protection locked="0" hidden="0"/>
    </xf>
    <xf numFmtId="164" fontId="4" fillId="3" borderId="1" applyAlignment="1" applyProtection="1" pivotButton="0" quotePrefix="0" xfId="1">
      <alignment horizontal="right"/>
      <protection locked="0" hidden="0"/>
    </xf>
    <xf numFmtId="165" fontId="5" fillId="3" borderId="1" applyAlignment="1" applyProtection="1" pivotButton="0" quotePrefix="0" xfId="1">
      <alignment horizontal="center"/>
      <protection locked="0" hidden="0"/>
    </xf>
    <xf numFmtId="166" fontId="4" fillId="3" borderId="1" applyProtection="1" pivotButton="0" quotePrefix="0" xfId="1">
      <protection locked="0" hidden="0"/>
    </xf>
    <xf numFmtId="166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0" fontId="8" fillId="0" borderId="1" applyAlignment="1" applyProtection="1" pivotButton="0" quotePrefix="0" xfId="0">
      <alignment horizontal="lef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9" fillId="4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0" fillId="3" borderId="0" pivotButton="0" quotePrefix="0" xfId="0"/>
    <xf numFmtId="0" fontId="12" fillId="5" borderId="4" applyAlignment="1" pivotButton="0" quotePrefix="0" xfId="0">
      <alignment horizontal="center" vertical="center" wrapText="1"/>
    </xf>
    <xf numFmtId="0" fontId="7" fillId="0" borderId="4" pivotButton="0" quotePrefix="0" xfId="0"/>
    <xf numFmtId="166" fontId="0" fillId="0" borderId="4" pivotButton="0" quotePrefix="0" xfId="0"/>
    <xf numFmtId="167" fontId="0" fillId="0" borderId="4" pivotButton="0" quotePrefix="0" xfId="0"/>
    <xf numFmtId="0" fontId="0" fillId="0" borderId="4" applyAlignment="1" pivotButton="0" quotePrefix="0" xfId="0">
      <alignment vertical="top" wrapText="1"/>
    </xf>
    <xf numFmtId="0" fontId="0" fillId="0" borderId="4" pivotButton="0" quotePrefix="0" xfId="0"/>
    <xf numFmtId="0" fontId="11" fillId="6" borderId="0" pivotButton="0" quotePrefix="0" xfId="0"/>
    <xf numFmtId="0" fontId="0" fillId="6" borderId="0" pivotButton="0" quotePrefix="0" xfId="0"/>
    <xf numFmtId="0" fontId="11" fillId="5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13" fillId="0" borderId="0" pivotButton="0" quotePrefix="0" xfId="0"/>
    <xf numFmtId="0" fontId="7" fillId="0" borderId="1" applyAlignment="1" applyProtection="1" pivotButton="0" quotePrefix="0" xfId="0">
      <alignment horizontal="left"/>
      <protection locked="0" hidden="0"/>
    </xf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5" customWidth="1" min="15" max="16"/>
    <col width="18" bestFit="1" customWidth="1" min="17" max="17"/>
    <col width="38" customWidth="1" min="18" max="18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  <c r="R2" s="44" t="inlineStr">
        <is>
          <t>Access</t>
        </is>
      </c>
    </row>
    <row r="3">
      <c r="A3" s="1" t="n">
        <v>1</v>
      </c>
      <c r="B3" s="2" t="inlineStr">
        <is>
          <t>Robert</t>
        </is>
      </c>
      <c r="C3" s="2" t="inlineStr">
        <is>
          <t>Tupe</t>
        </is>
      </c>
      <c r="D3" s="1" t="inlineStr">
        <is>
          <t>Existing</t>
        </is>
      </c>
      <c r="E3" s="46" t="inlineStr">
        <is>
          <t>Upstate Logistics Group LLC</t>
        </is>
      </c>
      <c r="F3" s="2" t="inlineStr">
        <is>
          <t>33-4154077</t>
        </is>
      </c>
      <c r="G3" s="2" t="inlineStr">
        <is>
          <t>2107 Goldfinch Blvd</t>
        </is>
      </c>
      <c r="H3" s="2" t="inlineStr">
        <is>
          <t>Princeton, NJ 08540</t>
        </is>
      </c>
      <c r="I3" s="3" t="n">
        <v>3</v>
      </c>
      <c r="J3" s="3" t="inlineStr">
        <is>
          <t>Biweekly</t>
        </is>
      </c>
      <c r="K3" s="4" t="n">
        <v>26</v>
      </c>
      <c r="L3" s="24" t="n">
        <v>78.56999999999999</v>
      </c>
      <c r="M3" s="24">
        <f>K3*L3</f>
        <v/>
      </c>
      <c r="N3" s="6" t="n"/>
      <c r="O3" s="25" t="n"/>
      <c r="P3" s="25" t="n"/>
      <c r="Q3" s="26">
        <f>M3</f>
        <v/>
      </c>
    </row>
    <row r="4">
      <c r="A4" s="1" t="n">
        <v>2</v>
      </c>
      <c r="B4" s="2" t="inlineStr">
        <is>
          <t>Ty</t>
        </is>
      </c>
      <c r="C4" s="2" t="inlineStr">
        <is>
          <t>Tyree</t>
        </is>
      </c>
      <c r="D4" s="1" t="inlineStr">
        <is>
          <t>Existing</t>
        </is>
      </c>
      <c r="E4" s="46" t="inlineStr">
        <is>
          <t>Tyree Advisory Group LLC</t>
        </is>
      </c>
      <c r="F4" s="2" t="inlineStr">
        <is>
          <t>42-1951214</t>
        </is>
      </c>
      <c r="G4" s="2" t="inlineStr">
        <is>
          <t>106 W Dorothys Way</t>
        </is>
      </c>
      <c r="H4" s="2" t="inlineStr">
        <is>
          <t>Lincoln University, PA 19352</t>
        </is>
      </c>
      <c r="I4" s="3" t="n">
        <v>1</v>
      </c>
      <c r="J4" s="3" t="inlineStr">
        <is>
          <t>Monthly</t>
        </is>
      </c>
      <c r="K4" s="4" t="n">
        <v>12</v>
      </c>
      <c r="L4" s="24" t="n">
        <v>71.92</v>
      </c>
      <c r="M4" s="24">
        <f>K4*L4</f>
        <v/>
      </c>
      <c r="N4" s="6" t="n"/>
      <c r="O4" s="25" t="n"/>
      <c r="P4" s="25" t="n"/>
      <c r="Q4" s="26">
        <f>M4</f>
        <v/>
      </c>
    </row>
    <row r="5">
      <c r="A5" s="1" t="n">
        <v>3</v>
      </c>
      <c r="B5" s="2" t="inlineStr">
        <is>
          <t xml:space="preserve">Ricardo </t>
        </is>
      </c>
      <c r="C5" s="2" t="inlineStr">
        <is>
          <t>De'Carvalho</t>
        </is>
      </c>
      <c r="D5" s="1" t="inlineStr">
        <is>
          <t>Existing</t>
        </is>
      </c>
      <c r="E5" s="46" t="inlineStr">
        <is>
          <t>RJC Holdings</t>
        </is>
      </c>
      <c r="F5" s="2" t="inlineStr">
        <is>
          <t>86-2385686</t>
        </is>
      </c>
      <c r="G5" s="2" t="inlineStr">
        <is>
          <t>6278 North Federal Highway</t>
        </is>
      </c>
      <c r="H5" s="2" t="inlineStr">
        <is>
          <t>Fort Lauderdale, FL 33308</t>
        </is>
      </c>
      <c r="I5" s="3" t="n">
        <v>1</v>
      </c>
      <c r="J5" s="3" t="inlineStr">
        <is>
          <t>Monthly</t>
        </is>
      </c>
      <c r="K5" s="4" t="n">
        <v>12</v>
      </c>
      <c r="L5" s="24" t="n">
        <v>58</v>
      </c>
      <c r="M5" s="24">
        <f>K5*L5</f>
        <v/>
      </c>
      <c r="N5" s="6" t="n"/>
      <c r="O5" s="25" t="n"/>
      <c r="P5" s="25" t="n"/>
      <c r="Q5" s="26">
        <f>M5</f>
        <v/>
      </c>
      <c r="R5" s="45" t="inlineStr">
        <is>
          <t>No access — Paychex cannot link the account</t>
        </is>
      </c>
    </row>
    <row r="6">
      <c r="A6" s="1" t="n">
        <v>4</v>
      </c>
      <c r="B6" s="2" t="inlineStr">
        <is>
          <t>Heather</t>
        </is>
      </c>
      <c r="C6" s="2" t="inlineStr">
        <is>
          <t>Kranz</t>
        </is>
      </c>
      <c r="D6" s="1" t="inlineStr">
        <is>
          <t>Existing</t>
        </is>
      </c>
      <c r="E6" s="46" t="inlineStr">
        <is>
          <t>Kranz Motorcars LLC</t>
        </is>
      </c>
      <c r="F6" s="2" t="inlineStr">
        <is>
          <t>39-2155930</t>
        </is>
      </c>
      <c r="G6" s="2" t="inlineStr">
        <is>
          <t>432 S Walnut St</t>
        </is>
      </c>
      <c r="H6" s="2" t="inlineStr">
        <is>
          <t>Kennett Square, PA 19348</t>
        </is>
      </c>
      <c r="I6" s="3" t="n">
        <v>1</v>
      </c>
      <c r="J6" s="3" t="inlineStr">
        <is>
          <t>Weekly</t>
        </is>
      </c>
      <c r="K6" s="4" t="n">
        <v>52</v>
      </c>
      <c r="L6" s="24" t="n">
        <v>59.5</v>
      </c>
      <c r="M6" s="24">
        <f>K6*L6</f>
        <v/>
      </c>
      <c r="N6" s="6" t="n"/>
      <c r="O6" s="25" t="n"/>
      <c r="P6" s="25" t="n"/>
      <c r="Q6" s="26">
        <f>M6</f>
        <v/>
      </c>
      <c r="R6" s="45" t="inlineStr">
        <is>
          <t>No access — client has not granted it</t>
        </is>
      </c>
    </row>
    <row r="7">
      <c r="A7" s="1" t="n">
        <v>5</v>
      </c>
      <c r="B7" s="2" t="inlineStr">
        <is>
          <t xml:space="preserve">Robert </t>
        </is>
      </c>
      <c r="C7" s="2" t="inlineStr">
        <is>
          <t>Shaul</t>
        </is>
      </c>
      <c r="D7" s="1" t="inlineStr">
        <is>
          <t>Existing</t>
        </is>
      </c>
      <c r="E7" s="2" t="inlineStr">
        <is>
          <t>Wisdom by Woods LLC</t>
        </is>
      </c>
      <c r="F7" s="2" t="inlineStr">
        <is>
          <t>93-3723791</t>
        </is>
      </c>
      <c r="G7" s="2" t="inlineStr">
        <is>
          <t>5320 Blue Reed Lane</t>
        </is>
      </c>
      <c r="H7" s="2" t="inlineStr">
        <is>
          <t>Lake Worth, FL 33467</t>
        </is>
      </c>
      <c r="I7" s="3" t="n">
        <v>1</v>
      </c>
      <c r="J7" s="3" t="inlineStr">
        <is>
          <t>Monthly</t>
        </is>
      </c>
      <c r="K7" s="4" t="n">
        <v>12</v>
      </c>
      <c r="L7" s="24" t="n">
        <v>129.78</v>
      </c>
      <c r="M7" s="24">
        <f>K7*L7</f>
        <v/>
      </c>
      <c r="N7" s="6" t="n"/>
      <c r="O7" s="25" t="n"/>
      <c r="P7" s="25" t="n"/>
      <c r="Q7" s="26">
        <f>M7</f>
        <v/>
      </c>
    </row>
    <row r="8">
      <c r="A8" s="1" t="n">
        <v>6</v>
      </c>
      <c r="B8" s="2" t="inlineStr">
        <is>
          <t>Hani</t>
        </is>
      </c>
      <c r="C8" s="2" t="inlineStr">
        <is>
          <t>Amiri Manesh</t>
        </is>
      </c>
      <c r="D8" s="1" t="inlineStr">
        <is>
          <t>Existing</t>
        </is>
      </c>
      <c r="E8" s="2" t="inlineStr">
        <is>
          <t>Auction Time Pieces</t>
        </is>
      </c>
      <c r="F8" s="2" t="inlineStr">
        <is>
          <t>42-2190303</t>
        </is>
      </c>
      <c r="G8" s="2" t="inlineStr">
        <is>
          <t>24324 Walnut Steeer Suite B</t>
        </is>
      </c>
      <c r="H8" s="2" t="inlineStr">
        <is>
          <t>Newhall, CA 91321</t>
        </is>
      </c>
      <c r="I8" s="3" t="n">
        <v>2</v>
      </c>
      <c r="J8" s="3" t="inlineStr">
        <is>
          <t>Semi Monthly</t>
        </is>
      </c>
      <c r="K8" s="4" t="n">
        <v>24</v>
      </c>
      <c r="L8" s="24" t="n">
        <v>154.1</v>
      </c>
      <c r="M8" s="24">
        <f>K8*L8</f>
        <v/>
      </c>
      <c r="N8" s="6" t="n"/>
      <c r="O8" s="25" t="n"/>
      <c r="P8" s="25" t="n"/>
      <c r="Q8" s="26">
        <f>M8</f>
        <v/>
      </c>
    </row>
    <row r="9">
      <c r="A9" s="1" t="n">
        <v>7</v>
      </c>
      <c r="B9" s="2" t="inlineStr">
        <is>
          <t xml:space="preserve">Robert </t>
        </is>
      </c>
      <c r="C9" s="2" t="inlineStr">
        <is>
          <t>Watson</t>
        </is>
      </c>
      <c r="D9" s="1" t="inlineStr">
        <is>
          <t>Existing</t>
        </is>
      </c>
      <c r="E9" s="2" t="inlineStr">
        <is>
          <t>Onchain Strategies LLC</t>
        </is>
      </c>
      <c r="F9" s="2" t="inlineStr">
        <is>
          <t>33-3282413</t>
        </is>
      </c>
      <c r="G9" s="2" t="inlineStr">
        <is>
          <t>655 Pyrite Will St</t>
        </is>
      </c>
      <c r="H9" s="2" t="inlineStr">
        <is>
          <t>Las Vegas, NV 89138</t>
        </is>
      </c>
      <c r="I9" s="3" t="n">
        <v>1</v>
      </c>
      <c r="J9" s="3" t="inlineStr">
        <is>
          <t>Monthly</t>
        </is>
      </c>
      <c r="K9" s="4" t="n">
        <v>12</v>
      </c>
      <c r="L9" s="24" t="n">
        <v>101</v>
      </c>
      <c r="M9" s="24">
        <f>K9*L9</f>
        <v/>
      </c>
      <c r="N9" s="6" t="inlineStr">
        <is>
          <t>Yes</t>
        </is>
      </c>
      <c r="O9" s="25" t="n"/>
      <c r="P9" s="25" t="n"/>
      <c r="Q9" s="26">
        <f>M9</f>
        <v/>
      </c>
    </row>
    <row r="10">
      <c r="A10" s="1" t="n">
        <v>8</v>
      </c>
      <c r="B10" s="2" t="inlineStr">
        <is>
          <t xml:space="preserve">Dave </t>
        </is>
      </c>
      <c r="C10" s="2" t="inlineStr">
        <is>
          <t>Truscello</t>
        </is>
      </c>
      <c r="D10" s="1" t="inlineStr">
        <is>
          <t>Existing</t>
        </is>
      </c>
      <c r="E10" s="2" t="inlineStr">
        <is>
          <t>Backfin Logistics LLC</t>
        </is>
      </c>
      <c r="F10" s="2" t="inlineStr">
        <is>
          <t>33-4371485</t>
        </is>
      </c>
      <c r="G10" s="2" t="inlineStr">
        <is>
          <t>7921 SPRINGWAY RD</t>
        </is>
      </c>
      <c r="H10" s="2" t="inlineStr">
        <is>
          <t>Towson, MD 21204</t>
        </is>
      </c>
      <c r="I10" s="3" t="n">
        <v>3</v>
      </c>
      <c r="J10" s="3" t="inlineStr">
        <is>
          <t>Semi Monthly</t>
        </is>
      </c>
      <c r="K10" s="4" t="n">
        <v>24</v>
      </c>
      <c r="L10" s="24" t="n">
        <v>98.5</v>
      </c>
      <c r="M10" s="24">
        <f>K10*L10</f>
        <v/>
      </c>
      <c r="N10" s="6" t="n"/>
      <c r="O10" s="25" t="n"/>
      <c r="P10" s="25" t="n"/>
      <c r="Q10" s="26">
        <f>M10</f>
        <v/>
      </c>
    </row>
    <row r="11">
      <c r="A11" s="1" t="n">
        <v>9</v>
      </c>
      <c r="B11" s="2" t="inlineStr">
        <is>
          <t>Niccolo</t>
        </is>
      </c>
      <c r="C11" s="2" t="inlineStr">
        <is>
          <t>Russino</t>
        </is>
      </c>
      <c r="D11" s="1" t="inlineStr">
        <is>
          <t>Existing</t>
        </is>
      </c>
      <c r="E11" s="2" t="inlineStr">
        <is>
          <t>Walters Mirrors Inc</t>
        </is>
      </c>
      <c r="F11" s="2" t="inlineStr">
        <is>
          <t>33-3877704</t>
        </is>
      </c>
      <c r="G11" s="2" t="inlineStr">
        <is>
          <t>1625 Cody, Ave</t>
        </is>
      </c>
      <c r="H11" s="2" t="inlineStr">
        <is>
          <t>Ridgewood, NY 11385-5733</t>
        </is>
      </c>
      <c r="I11" s="3" t="n">
        <v>3</v>
      </c>
      <c r="J11" s="3" t="inlineStr">
        <is>
          <t>Biweekly</t>
        </is>
      </c>
      <c r="K11" s="4" t="n">
        <v>26</v>
      </c>
      <c r="L11" s="24" t="n">
        <v>261.95</v>
      </c>
      <c r="M11" s="24">
        <f>K11*L11</f>
        <v/>
      </c>
      <c r="N11" s="6" t="inlineStr">
        <is>
          <t>Yes</t>
        </is>
      </c>
      <c r="O11" s="25" t="n"/>
      <c r="P11" s="25" t="n"/>
      <c r="Q11" s="26">
        <f>M11</f>
        <v/>
      </c>
    </row>
    <row r="12">
      <c r="A12" s="1" t="n">
        <v>10</v>
      </c>
      <c r="B12" s="2" t="inlineStr">
        <is>
          <t>Spencer</t>
        </is>
      </c>
      <c r="C12" s="2" t="inlineStr">
        <is>
          <t>Thwaytes</t>
        </is>
      </c>
      <c r="D12" s="1" t="inlineStr">
        <is>
          <t>Existing</t>
        </is>
      </c>
      <c r="E12" s="2" t="inlineStr">
        <is>
          <t>Spencer Thwaytes &amp; Co LLC</t>
        </is>
      </c>
      <c r="F12" s="2" t="inlineStr">
        <is>
          <t>93-1357097</t>
        </is>
      </c>
      <c r="G12" s="2" t="inlineStr">
        <is>
          <t>1524 Bayview Drive</t>
        </is>
      </c>
      <c r="H12" s="2" t="inlineStr">
        <is>
          <t>Fort Lauderdale, FL 33304</t>
        </is>
      </c>
      <c r="I12" s="3" t="n">
        <v>3</v>
      </c>
      <c r="J12" s="3" t="inlineStr">
        <is>
          <t>Monthly</t>
        </is>
      </c>
      <c r="K12" s="4" t="n">
        <v>12</v>
      </c>
      <c r="L12" s="24" t="n">
        <v>77</v>
      </c>
      <c r="M12" s="24">
        <f>K12*L12</f>
        <v/>
      </c>
      <c r="N12" s="6" t="inlineStr">
        <is>
          <t>Yes</t>
        </is>
      </c>
      <c r="O12" s="25" t="n"/>
      <c r="P12" s="25" t="n"/>
      <c r="Q12" s="26">
        <f>M12</f>
        <v/>
      </c>
    </row>
    <row r="13">
      <c r="A13" s="1" t="n">
        <v>11</v>
      </c>
      <c r="B13" s="2" t="inlineStr">
        <is>
          <t xml:space="preserve">Richard </t>
        </is>
      </c>
      <c r="C13" s="2" t="inlineStr">
        <is>
          <t>Zamilpa</t>
        </is>
      </c>
      <c r="D13" s="1" t="inlineStr">
        <is>
          <t>Existing</t>
        </is>
      </c>
      <c r="E13" s="2" t="inlineStr">
        <is>
          <t>Complete Merchant Services Consulting</t>
        </is>
      </c>
      <c r="F13" s="2" t="inlineStr">
        <is>
          <t>99-4630525</t>
        </is>
      </c>
      <c r="G13" s="2" t="inlineStr">
        <is>
          <t>6252 Isabel Cove Ave</t>
        </is>
      </c>
      <c r="H13" s="2" t="inlineStr">
        <is>
          <t xml:space="preserve"> Las Vegas NV 89139 </t>
        </is>
      </c>
      <c r="I13" s="3" t="n">
        <v>2</v>
      </c>
      <c r="J13" s="3" t="inlineStr">
        <is>
          <t>Monthly</t>
        </is>
      </c>
      <c r="K13" s="4" t="n">
        <v>12</v>
      </c>
      <c r="L13" s="24" t="n">
        <v>100</v>
      </c>
      <c r="M13" s="24">
        <f>K13*L13</f>
        <v/>
      </c>
      <c r="N13" s="6" t="inlineStr">
        <is>
          <t>Yes</t>
        </is>
      </c>
      <c r="O13" s="4" t="n"/>
      <c r="P13" s="4" t="n"/>
      <c r="Q13" s="26">
        <f>M13</f>
        <v/>
      </c>
    </row>
    <row r="14">
      <c r="A14" s="1" t="n">
        <v>12</v>
      </c>
      <c r="B14" s="2" t="inlineStr">
        <is>
          <t xml:space="preserve">Frank </t>
        </is>
      </c>
      <c r="C14" s="2" t="inlineStr">
        <is>
          <t xml:space="preserve">Giordano </t>
        </is>
      </c>
      <c r="D14" s="1" t="inlineStr">
        <is>
          <t>Existing</t>
        </is>
      </c>
      <c r="E14" s="2" t="inlineStr">
        <is>
          <t>FRG Advisory, LLC</t>
        </is>
      </c>
      <c r="F14" s="2" t="inlineStr">
        <is>
          <t>40-0020506</t>
        </is>
      </c>
      <c r="G14" s="2" t="inlineStr">
        <is>
          <t>431 E 20th Street</t>
        </is>
      </c>
      <c r="H14" s="2" t="inlineStr">
        <is>
          <t>New York NY 10010</t>
        </is>
      </c>
      <c r="I14" s="3" t="n">
        <v>1</v>
      </c>
      <c r="J14" s="3" t="inlineStr">
        <is>
          <t>Monthly</t>
        </is>
      </c>
      <c r="K14" s="4" t="n">
        <v>12</v>
      </c>
      <c r="L14" s="24" t="n">
        <v>50</v>
      </c>
      <c r="M14" s="24">
        <f>K14*L14</f>
        <v/>
      </c>
      <c r="N14" s="6" t="inlineStr">
        <is>
          <t>Yes</t>
        </is>
      </c>
      <c r="O14" s="4" t="n"/>
      <c r="P14" s="4" t="n"/>
      <c r="Q14" s="26">
        <f>M14</f>
        <v/>
      </c>
    </row>
    <row r="15">
      <c r="A15" s="1" t="n">
        <v>13</v>
      </c>
      <c r="B15" s="2" t="inlineStr">
        <is>
          <t>Benjamin</t>
        </is>
      </c>
      <c r="C15" s="2" t="inlineStr">
        <is>
          <t xml:space="preserve">Solomon </t>
        </is>
      </c>
      <c r="D15" s="1" t="inlineStr">
        <is>
          <t>Existing</t>
        </is>
      </c>
      <c r="E15" s="2" t="inlineStr">
        <is>
          <t>Broadway 2000, Inc</t>
        </is>
      </c>
      <c r="F15" s="2" t="inlineStr">
        <is>
          <t>85-3662838</t>
        </is>
      </c>
      <c r="G15" s="2" t="inlineStr">
        <is>
          <t>662 Driggs Avenue</t>
        </is>
      </c>
      <c r="H15" s="2" t="inlineStr">
        <is>
          <t>Brooklyn, NY 11211</t>
        </is>
      </c>
      <c r="I15" s="3" t="n">
        <v>1</v>
      </c>
      <c r="J15" s="3" t="inlineStr">
        <is>
          <t>Yearly</t>
        </is>
      </c>
      <c r="K15" s="4" t="n">
        <v>1</v>
      </c>
      <c r="L15" s="24" t="n">
        <v>400</v>
      </c>
      <c r="M15" s="24">
        <f>K15*L15</f>
        <v/>
      </c>
      <c r="N15" s="6" t="inlineStr">
        <is>
          <t>Yes</t>
        </is>
      </c>
      <c r="O15" s="4" t="n"/>
      <c r="P15" s="4" t="n"/>
      <c r="Q15" s="26">
        <f>M15</f>
        <v/>
      </c>
    </row>
    <row r="16">
      <c r="A16" s="1" t="n"/>
      <c r="B16" s="2" t="n"/>
      <c r="C16" s="2" t="n"/>
      <c r="D16" s="1" t="n"/>
      <c r="E16" s="2" t="n"/>
      <c r="F16" s="2" t="n"/>
      <c r="G16" s="2" t="n"/>
      <c r="H16" s="2" t="n"/>
      <c r="I16" s="3" t="n"/>
      <c r="J16" s="3" t="n"/>
      <c r="K16" s="4" t="n"/>
      <c r="L16" s="27" t="n"/>
      <c r="M16" s="6" t="n"/>
      <c r="N16" s="6" t="n"/>
      <c r="O16" s="4" t="n"/>
      <c r="P16" s="4" t="n"/>
      <c r="Q16" s="5" t="n"/>
    </row>
    <row r="17">
      <c r="A17" s="1" t="n"/>
      <c r="B17" s="28" t="n"/>
      <c r="C17" s="2" t="n"/>
      <c r="D17" s="1" t="n"/>
      <c r="E17" s="2" t="n"/>
      <c r="F17" s="2" t="n"/>
      <c r="G17" s="2" t="n"/>
      <c r="H17" s="2" t="n"/>
      <c r="I17" s="3" t="n"/>
      <c r="J17" s="3" t="n"/>
      <c r="K17" s="4" t="n"/>
      <c r="L17" s="27" t="n"/>
      <c r="M17" s="6" t="n"/>
      <c r="N17" s="6" t="n"/>
      <c r="O17" s="4" t="n"/>
      <c r="P17" s="4" t="n"/>
      <c r="Q17" s="5" t="n"/>
    </row>
    <row r="18">
      <c r="A18" s="1" t="n"/>
      <c r="B18" s="28" t="n"/>
      <c r="C18" s="2" t="n"/>
      <c r="D18" s="1" t="n"/>
      <c r="E18" s="2" t="n"/>
      <c r="F18" s="2" t="n"/>
      <c r="G18" s="2" t="n"/>
      <c r="H18" s="2" t="n"/>
      <c r="I18" s="3" t="n"/>
      <c r="J18" s="3" t="n"/>
      <c r="K18" s="4" t="n"/>
      <c r="L18" s="27" t="n"/>
      <c r="M18" s="6" t="n"/>
      <c r="N18" s="6" t="n"/>
      <c r="O18" s="4" t="n"/>
      <c r="P18" s="4" t="n"/>
      <c r="Q18" s="5" t="n"/>
    </row>
    <row r="19">
      <c r="A19" s="1" t="n"/>
      <c r="B19" s="2" t="n"/>
      <c r="C19" s="2" t="n"/>
      <c r="D19" s="1" t="n"/>
      <c r="E19" s="2" t="n"/>
      <c r="F19" s="2" t="n"/>
      <c r="G19" s="2" t="n"/>
      <c r="H19" s="2" t="n"/>
      <c r="I19" s="3" t="n"/>
      <c r="J19" s="3" t="n"/>
      <c r="K19" s="4" t="n"/>
      <c r="L19" s="27" t="n"/>
      <c r="M19" s="6" t="n"/>
      <c r="N19" s="6" t="n"/>
      <c r="O19" s="4" t="n"/>
      <c r="P19" s="4" t="n"/>
      <c r="Q19" s="5" t="n"/>
    </row>
    <row r="20">
      <c r="A20" s="1" t="n"/>
      <c r="B20" s="2" t="n"/>
      <c r="C20" s="2" t="n"/>
      <c r="D20" s="1" t="n"/>
      <c r="E20" s="2" t="n"/>
      <c r="F20" s="2" t="n"/>
      <c r="G20" s="2" t="n"/>
      <c r="H20" s="2" t="n"/>
      <c r="I20" s="3" t="n"/>
      <c r="J20" s="3" t="n"/>
      <c r="K20" s="4" t="n"/>
      <c r="L20" s="27" t="n"/>
      <c r="M20" s="6" t="n"/>
      <c r="N20" s="6" t="n"/>
      <c r="O20" s="4" t="n"/>
      <c r="P20" s="4" t="n"/>
      <c r="Q20" s="5" t="n"/>
    </row>
    <row r="21">
      <c r="A21" s="1" t="n">
        <v>19</v>
      </c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27" t="n"/>
      <c r="M21" s="6" t="n"/>
      <c r="N21" s="6" t="n"/>
      <c r="O21" s="4" t="n"/>
      <c r="P21" s="4" t="n"/>
      <c r="Q21" s="5" t="n"/>
    </row>
    <row r="22">
      <c r="A22" s="1" t="n">
        <v>20</v>
      </c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27" t="n"/>
      <c r="M22" s="6" t="n"/>
      <c r="N22" s="6" t="n"/>
      <c r="O22" s="4" t="n"/>
      <c r="P22" s="4" t="n"/>
      <c r="Q22" s="5" t="n"/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27" t="n"/>
      <c r="M23" s="6" t="n"/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27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27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27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27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27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29" t="inlineStr">
        <is>
          <t>Total</t>
        </is>
      </c>
      <c r="M29" s="12">
        <f>SUM(M3:M15)</f>
        <v/>
      </c>
      <c r="N29" s="6" t="n"/>
      <c r="O29" s="4" t="n"/>
      <c r="P29" s="4" t="n"/>
      <c r="Q29" s="5" t="n"/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29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29" t="inlineStr">
        <is>
          <t>Multiplier</t>
        </is>
      </c>
      <c r="M31" s="12">
        <f>M29*2</f>
        <v/>
      </c>
      <c r="N31" s="6" t="n"/>
      <c r="O31" s="4" t="n"/>
      <c r="P31" s="4" t="n"/>
      <c r="Q31" s="5" t="n"/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27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27" t="n"/>
      <c r="M33" s="6" t="n"/>
      <c r="N33" s="6" t="n"/>
      <c r="O33" s="4" t="n"/>
      <c r="P33" s="4" t="n"/>
      <c r="Q33" s="5" t="n"/>
    </row>
    <row r="34">
      <c r="A34" s="1" t="n">
        <v>32</v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27" t="n"/>
      <c r="M34" s="6" t="n"/>
      <c r="N34" s="6" t="n"/>
      <c r="O34" s="4" t="n"/>
      <c r="P34" s="4" t="n"/>
      <c r="Q34" s="5" t="n"/>
    </row>
    <row r="35">
      <c r="A35" s="1" t="n">
        <v>33</v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27" t="n"/>
      <c r="M35" s="6" t="n"/>
      <c r="N35" s="6" t="n"/>
      <c r="O35" s="4" t="n"/>
      <c r="P35" s="4" t="n"/>
      <c r="Q35" s="5" t="n"/>
    </row>
    <row r="36">
      <c r="A36" s="1" t="n">
        <v>34</v>
      </c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27" t="n"/>
      <c r="M36" s="6" t="n"/>
      <c r="N36" s="6" t="n"/>
      <c r="O36" s="4" t="n"/>
      <c r="P36" s="4" t="n"/>
      <c r="Q36" s="5" t="n"/>
    </row>
    <row r="37">
      <c r="A37" s="1" t="n">
        <v>35</v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27" t="n"/>
      <c r="M37" s="6" t="n"/>
      <c r="N37" s="6" t="n"/>
      <c r="O37" s="4" t="n"/>
      <c r="P37" s="4" t="n"/>
      <c r="Q37" s="5" t="n"/>
    </row>
    <row r="38">
      <c r="A38" s="1" t="n">
        <v>36</v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27" t="n"/>
      <c r="M38" s="6" t="n"/>
      <c r="N38" s="6" t="n"/>
      <c r="O38" s="4" t="n"/>
      <c r="P38" s="4" t="n"/>
      <c r="Q38" s="5" t="n"/>
    </row>
    <row r="39">
      <c r="A39" s="1" t="n">
        <v>37</v>
      </c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27" t="n"/>
      <c r="M39" s="6" t="n"/>
      <c r="N39" s="6" t="n"/>
      <c r="O39" s="4" t="n"/>
      <c r="P39" s="4" t="n"/>
      <c r="Q39" s="5" t="n"/>
    </row>
    <row r="40">
      <c r="A40" s="1" t="n">
        <v>38</v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27" t="n"/>
      <c r="M40" s="6" t="n"/>
      <c r="N40" s="6" t="n"/>
      <c r="O40" s="4" t="n"/>
      <c r="P40" s="4" t="n"/>
      <c r="Q40" s="5" t="n"/>
    </row>
    <row r="41">
      <c r="A41" s="1" t="n">
        <v>39</v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27" t="n"/>
      <c r="M41" s="6" t="n"/>
      <c r="N41" s="6" t="n"/>
      <c r="O41" s="4" t="n"/>
      <c r="P41" s="4" t="n"/>
      <c r="Q41" s="5" t="n"/>
    </row>
    <row r="42">
      <c r="A42" s="1" t="n">
        <v>40</v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27" t="n"/>
      <c r="M42" s="6" t="n"/>
      <c r="N42" s="6" t="n"/>
      <c r="O42" s="4" t="n"/>
      <c r="P42" s="4" t="n"/>
      <c r="Q42" s="5" t="n"/>
    </row>
    <row r="43">
      <c r="A43" s="1" t="n">
        <v>41</v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27" t="n"/>
      <c r="M43" s="6" t="n"/>
      <c r="N43" s="6" t="n"/>
      <c r="O43" s="4" t="n"/>
      <c r="P43" s="4" t="n"/>
      <c r="Q43" s="5" t="n"/>
    </row>
    <row r="44">
      <c r="A44" s="1" t="n">
        <v>42</v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27" t="n"/>
      <c r="M44" s="6" t="n"/>
      <c r="N44" s="6" t="n"/>
      <c r="O44" s="4" t="n"/>
      <c r="P44" s="4" t="n"/>
      <c r="Q44" s="5" t="n"/>
    </row>
    <row r="45">
      <c r="A45" s="1" t="n">
        <v>43</v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n">
        <v>44</v>
      </c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n">
        <v>45</v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n">
        <v>46</v>
      </c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n">
        <v>47</v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66" customWidth="1" min="5" max="5"/>
    <col width="30" customWidth="1" min="6" max="6"/>
  </cols>
  <sheetData>
    <row r="1" ht="26" customHeight="1">
      <c r="A1" s="30" t="inlineStr">
        <is>
          <t>PRICING NOTES — WHAT CHANGED AND WHY</t>
        </is>
      </c>
    </row>
    <row r="2">
      <c r="A2" s="31" t="inlineStr">
        <is>
          <t>Every change below came off an actual Paychex invoice or from your 9/22 email.</t>
        </is>
      </c>
    </row>
    <row r="4">
      <c r="A4" s="32" t="inlineStr">
        <is>
          <t>CHANGED — 6 clients</t>
        </is>
      </c>
      <c r="B4" s="33" t="n"/>
      <c r="C4" s="33" t="n"/>
      <c r="D4" s="33" t="n"/>
      <c r="E4" s="33" t="n"/>
      <c r="F4" s="33" t="n"/>
    </row>
    <row r="5" ht="30" customHeight="1">
      <c r="A5" s="34" t="inlineStr">
        <is>
          <t>Client</t>
        </is>
      </c>
      <c r="B5" s="34" t="inlineStr">
        <is>
          <t>Your sheet</t>
        </is>
      </c>
      <c r="C5" s="34" t="inlineStr">
        <is>
          <t>Now</t>
        </is>
      </c>
      <c r="D5" s="34" t="inlineStr">
        <is>
          <t>Difference</t>
        </is>
      </c>
      <c r="E5" s="34" t="inlineStr">
        <is>
          <t>Why</t>
        </is>
      </c>
      <c r="F5" s="34" t="inlineStr">
        <is>
          <t>Source</t>
        </is>
      </c>
    </row>
    <row r="6" ht="34" customHeight="1">
      <c r="A6" s="35" t="inlineStr">
        <is>
          <t>Auction Time Pieces</t>
        </is>
      </c>
      <c r="B6" s="36" t="n">
        <v>79.09999999999999</v>
      </c>
      <c r="C6" s="36" t="n">
        <v>154.1</v>
      </c>
      <c r="D6" s="37" t="n">
        <v>75</v>
      </c>
      <c r="E6" s="38" t="inlineStr">
        <is>
          <t>Invoice shows Flex Select 79.10 plus Direct Deposit Premium Processing 75.00, charged every run.</t>
        </is>
      </c>
      <c r="F6" s="39" t="inlineStr">
        <is>
          <t>Paychex invoice 7/30/26</t>
        </is>
      </c>
    </row>
    <row r="7" ht="34" customHeight="1">
      <c r="A7" s="35" t="inlineStr">
        <is>
          <t>Onchain Strategies</t>
        </is>
      </c>
      <c r="B7" s="36" t="n">
        <v>58</v>
      </c>
      <c r="C7" s="36" t="n">
        <v>101</v>
      </c>
      <c r="D7" s="37" t="n">
        <v>43</v>
      </c>
      <c r="E7" s="38" t="inlineStr">
        <is>
          <t>Base is Officer Only Payroll 65.00, not 58.00, plus Delivery 36.00 every run.</t>
        </is>
      </c>
      <c r="F7" s="39" t="inlineStr">
        <is>
          <t>Paychex invoice 5/27/26</t>
        </is>
      </c>
    </row>
    <row r="8" ht="34" customHeight="1">
      <c r="A8" s="35" t="inlineStr">
        <is>
          <t>Walters Mirrors</t>
        </is>
      </c>
      <c r="B8" s="36" t="n">
        <v>95.3</v>
      </c>
      <c r="C8" s="36" t="n">
        <v>261.95</v>
      </c>
      <c r="D8" s="37" t="n">
        <v>166.65</v>
      </c>
      <c r="E8" s="38" t="inlineStr">
        <is>
          <t>Paychex actually charges 502.15 a run on HR Pro. 261.95 is our price. Also bi-weekly not semi-monthly, 26 runs not 24, and 3 employees not 5.</t>
        </is>
      </c>
      <c r="F8" s="39" t="inlineStr">
        <is>
          <t>Paychex invoices 9/2 + 9/14/26</t>
        </is>
      </c>
    </row>
    <row r="9" ht="34" customHeight="1">
      <c r="A9" s="35" t="inlineStr">
        <is>
          <t>Complete Merchant Services</t>
        </is>
      </c>
      <c r="B9" s="36" t="n">
        <v>70</v>
      </c>
      <c r="C9" s="36" t="n">
        <v>100</v>
      </c>
      <c r="D9" s="37" t="n">
        <v>30</v>
      </c>
      <c r="E9" s="38" t="inlineStr">
        <is>
          <t>Not on Paychex. On Gusto at 100 a month, 2 employees, payroll only.</t>
        </is>
      </c>
      <c r="F9" s="39" t="inlineStr">
        <is>
          <t>Your email 9/22/26</t>
        </is>
      </c>
    </row>
    <row r="10" ht="34" customHeight="1">
      <c r="A10" s="35" t="inlineStr">
        <is>
          <t>FRG Advisory</t>
        </is>
      </c>
      <c r="B10" s="36" t="n">
        <v>70</v>
      </c>
      <c r="C10" s="36" t="n">
        <v>50</v>
      </c>
      <c r="D10" s="37" t="n">
        <v>-20</v>
      </c>
      <c r="E10" s="38" t="inlineStr">
        <is>
          <t>On Gusto at 50 a month, monthly.</t>
        </is>
      </c>
      <c r="F10" s="39" t="inlineStr">
        <is>
          <t>Your email 9/22/26</t>
        </is>
      </c>
    </row>
    <row r="11" ht="34" customHeight="1">
      <c r="A11" s="35" t="inlineStr">
        <is>
          <t>Broadway 2000</t>
        </is>
      </c>
      <c r="B11" s="36" t="n">
        <v>300</v>
      </c>
      <c r="C11" s="36" t="n">
        <v>400</v>
      </c>
      <c r="D11" s="37" t="n">
        <v>100</v>
      </c>
      <c r="E11" s="38" t="inlineStr">
        <is>
          <t>No provider. Runs through IRS Treasury online, about 400 a year.</t>
        </is>
      </c>
      <c r="F11" s="39" t="inlineStr">
        <is>
          <t>Your email 9/22/26</t>
        </is>
      </c>
    </row>
    <row r="13">
      <c r="A13" s="40" t="inlineStr">
        <is>
          <t>MATCHED YOUR SHEET EXACTLY — 3 clients</t>
        </is>
      </c>
      <c r="B13" s="41" t="n"/>
      <c r="C13" s="41" t="n"/>
      <c r="D13" s="41" t="n"/>
      <c r="E13" s="41" t="n"/>
      <c r="F13" s="41" t="n"/>
    </row>
    <row r="14">
      <c r="A14" s="35" t="inlineStr">
        <is>
          <t>Wisdom by Woods</t>
        </is>
      </c>
      <c r="B14" s="36" t="n">
        <v>129.78</v>
      </c>
      <c r="C14" s="39" t="n"/>
      <c r="D14" s="39" t="n"/>
      <c r="E14" s="39" t="n"/>
      <c r="F14" s="39" t="inlineStr">
        <is>
          <t>Paychex invoices 6/24 + 7/29/26</t>
        </is>
      </c>
    </row>
    <row r="15">
      <c r="A15" s="35" t="inlineStr">
        <is>
          <t>Backfin Logistics</t>
        </is>
      </c>
      <c r="B15" s="36" t="n">
        <v>98.5</v>
      </c>
      <c r="C15" s="39" t="n"/>
      <c r="D15" s="39" t="n"/>
      <c r="E15" s="39" t="n"/>
      <c r="F15" s="39" t="inlineStr">
        <is>
          <t>Paychex invoices 8/12, 8/26, 9/11/26</t>
        </is>
      </c>
    </row>
    <row r="16">
      <c r="A16" s="35" t="inlineStr">
        <is>
          <t>Spencer Thwaytes &amp; Co</t>
        </is>
      </c>
      <c r="B16" s="36" t="n">
        <v>77</v>
      </c>
      <c r="C16" s="39" t="n"/>
      <c r="D16" s="39" t="n"/>
      <c r="E16" s="39" t="n"/>
      <c r="F16" s="39" t="inlineStr">
        <is>
          <t>Paychex invoice 8/27/26</t>
        </is>
      </c>
    </row>
    <row r="18">
      <c r="A18" s="32" t="inlineStr">
        <is>
          <t>TOP FOUR — pricing still adjustable</t>
        </is>
      </c>
      <c r="B18" s="33" t="n"/>
      <c r="C18" s="33" t="n"/>
      <c r="D18" s="33" t="n"/>
      <c r="E18" s="33" t="n"/>
      <c r="F18" s="33" t="n"/>
    </row>
    <row r="19">
      <c r="A19" s="35" t="inlineStr">
        <is>
          <t>Upstate Logistics</t>
        </is>
      </c>
      <c r="B19" s="36" t="n">
        <v>78.56999999999999</v>
      </c>
      <c r="C19" s="39" t="n"/>
      <c r="D19" s="39" t="n"/>
      <c r="E19" s="39" t="inlineStr">
        <is>
          <t>Access granted, invoice not received yet.</t>
        </is>
      </c>
      <c r="F19" s="39" t="n"/>
    </row>
    <row r="20">
      <c r="A20" s="35" t="inlineStr">
        <is>
          <t>Tyree Advisory</t>
        </is>
      </c>
      <c r="B20" s="36" t="n">
        <v>71.92</v>
      </c>
      <c r="C20" s="39" t="n"/>
      <c r="D20" s="39" t="n"/>
      <c r="E20" s="39" t="inlineStr">
        <is>
          <t>Access granted, invoice not received yet.</t>
        </is>
      </c>
      <c r="F20" s="39" t="n"/>
    </row>
    <row r="21">
      <c r="A21" s="35" t="inlineStr">
        <is>
          <t>RJC Holdings</t>
        </is>
      </c>
      <c r="B21" s="36" t="n">
        <v>58</v>
      </c>
      <c r="C21" s="39" t="n"/>
      <c r="D21" s="39" t="n"/>
      <c r="E21" s="39" t="inlineStr">
        <is>
          <t>No access. Paychex cannot link the account.</t>
        </is>
      </c>
      <c r="F21" s="39" t="n"/>
    </row>
    <row r="22">
      <c r="A22" s="35" t="inlineStr">
        <is>
          <t>Kranz Motorcars</t>
        </is>
      </c>
      <c r="B22" s="36" t="n">
        <v>59.5</v>
      </c>
      <c r="C22" s="39" t="n"/>
      <c r="D22" s="39" t="n"/>
      <c r="E22" s="39" t="inlineStr">
        <is>
          <t>No access. Client has not granted it.</t>
        </is>
      </c>
      <c r="F22" s="39" t="n"/>
    </row>
    <row r="24">
      <c r="A24" s="42" t="inlineStr">
        <is>
          <t>REMOVED — 5 clients with no current payroll billing</t>
        </is>
      </c>
      <c r="B24" s="43" t="n"/>
      <c r="C24" s="43" t="n"/>
      <c r="D24" s="43" t="n"/>
      <c r="E24" s="43" t="n"/>
      <c r="F24" s="43" t="n"/>
    </row>
    <row r="25">
      <c r="A25" t="inlineStr">
        <is>
          <t>B333 Trading  ·  AJG Trading  ·  Kapstone Digital  ·  Atlas Opera  ·  North Star Works</t>
        </is>
      </c>
    </row>
    <row r="27">
      <c r="A27" s="42" t="inlineStr">
        <is>
          <t>WHAT IS NOT IN THESE NUMBERS</t>
        </is>
      </c>
      <c r="B27" s="43" t="n"/>
      <c r="C27" s="43" t="n"/>
      <c r="D27" s="43" t="n"/>
      <c r="E27" s="43" t="n"/>
      <c r="F27" s="43" t="n"/>
    </row>
    <row r="28">
      <c r="A28" t="inlineStr">
        <is>
          <t>One-time setup fees.</t>
        </is>
      </c>
    </row>
    <row r="29">
      <c r="A29" t="inlineStr">
        <is>
          <t>Missing State ID and Missing Local ID penalties of 50 a month. Those stop once the registrations are filed.</t>
        </is>
      </c>
    </row>
    <row r="30">
      <c r="A30" t="inlineStr">
        <is>
          <t>Year-end W-2 and 1099 charges.</t>
        </is>
      </c>
    </row>
    <row r="31">
      <c r="A31" t="inlineStr">
        <is>
          <t>401(k) fees. Those are priced separately.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2026-09-25T15:18:31Z</dcterms:modified>
  <cp:lastModifiedBy>Stephen Scialo</cp:lastModifiedBy>
</cp:coreProperties>
</file>